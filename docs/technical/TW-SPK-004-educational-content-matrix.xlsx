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996f18e5b045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acter Matrix" sheetId="1" r:id="R6b27fb55975a4a39"/>
    <x:sheet xmlns:r="http://schemas.openxmlformats.org/officeDocument/2006/relationships" name="Word Slots" sheetId="2" r:id="R52ecbc1aa7e541fb"/>
    <x:sheet xmlns:r="http://schemas.openxmlformats.org/officeDocument/2006/relationships" name="Discrepancies" sheetId="3" r:id="R2c2f5684c72941c7"/>
    <x:sheet xmlns:r="http://schemas.openxmlformats.org/officeDocument/2006/relationships" name="Review Log" sheetId="4" r:id="R1e16c3fa143544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i/>
      <x:sz val="11"/>
      <x:color rgb="FF4B3A2D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sz val="11"/>
      <x:color rgb="FF2B2B2B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DDAA3C"/>
      </x:patternFill>
    </x:fill>
    <x:fill>
      <x:patternFill patternType="solid">
        <x:fgColor rgb="FFEAF1F6"/>
      </x:patternFill>
    </x:fill>
    <x:fill>
      <x:patternFill patternType="solid">
        <x:fgColor rgb="FFFFF7E7"/>
      </x:patternFill>
    </x:fill>
    <x:fill>
      <x:patternFill patternType="solid">
        <x:fgColor rgb="FF60391F"/>
      </x:patternFill>
    </x:fill>
    <x:fill>
      <x:patternFill patternType="solid">
        <x:fgColor rgb="FFFFF7E6"/>
      </x:patternFill>
    </x:fill>
    <x:fill>
      <x:patternFill patternType="solid">
        <x:fgColor rgb="FFFFF7E6"/>
      </x:patternFill>
    </x:fill>
    <x:fill>
      <x:patternFill patternType="solid">
        <x:fgColor rgb="FFFFF7E6"/>
      </x:patternFill>
    </x:fill>
    <x:fill>
      <x:patternFill patternType="solid">
        <x:fgColor rgb="FFFFF7E6"/>
      </x:patternFill>
    </x:fill>
    <x:fill>
      <x:patternFill patternType="solid">
        <x:fgColor rgb="FFFFF7E6"/>
      </x:patternFill>
    </x:fill>
    <x:fill>
      <x:patternFill patternType="solid">
        <x:fgColor rgb="FFFFF7E6"/>
      </x:patternFill>
    </x:fill>
    <x:fill>
      <x:patternFill patternType="solid">
        <x:fgColor rgb="FFFFF7E6"/>
      </x:patternFill>
    </x:fill>
    <x:fill>
      <x:patternFill patternType="solid">
        <x:fgColor rgb="FFFFF7E6"/>
      </x:patternFill>
    </x:fill>
  </x:fills>
  <x:borders count="16">
    <x:border/>
    <x:border>
      <x:right style="thin">
        <x:color rgb="FFC8B39C"/>
      </x:right>
    </x:border>
    <x:border>
      <x:left style="thin">
        <x:color rgb="FFC8B39C"/>
      </x:left>
      <x:right style="thin">
        <x:color rgb="FFC8B39C"/>
      </x:right>
    </x:border>
    <x:border>
      <x:left style="thin">
        <x:color rgb="FFC8B39C"/>
      </x:left>
    </x:border>
    <x:border>
      <x:right style="thin">
        <x:color rgb="FFE5D8C5"/>
      </x:right>
      <x:bottom style="thin">
        <x:color rgb="FFE5D8C5"/>
      </x:bottom>
    </x:border>
    <x:border>
      <x:left style="thin">
        <x:color rgb="FFE5D8C5"/>
      </x:left>
      <x:right style="thin">
        <x:color rgb="FFE5D8C5"/>
      </x:right>
      <x:bottom style="thin">
        <x:color rgb="FFE5D8C5"/>
      </x:bottom>
    </x:border>
    <x:border>
      <x:left style="thin">
        <x:color rgb="FFE5D8C5"/>
      </x:left>
      <x:bottom style="thin">
        <x:color rgb="FFE5D8C5"/>
      </x:bottom>
    </x:border>
    <x:border>
      <x:right style="thin">
        <x:color rgb="FFE5D8C5"/>
      </x:right>
      <x:top style="thin">
        <x:color rgb="FFE5D8C5"/>
      </x:top>
      <x:bottom style="thin">
        <x:color rgb="FFE5D8C5"/>
      </x:bottom>
    </x:border>
    <x:border>
      <x:left style="thin">
        <x:color rgb="FFE5D8C5"/>
      </x:left>
      <x:right style="thin">
        <x:color rgb="FFE5D8C5"/>
      </x:right>
      <x:top style="thin">
        <x:color rgb="FFE5D8C5"/>
      </x:top>
      <x:bottom style="thin">
        <x:color rgb="FFE5D8C5"/>
      </x:bottom>
    </x:border>
    <x:border>
      <x:left style="thin">
        <x:color rgb="FFE5D8C5"/>
      </x:left>
      <x:top style="thin">
        <x:color rgb="FFE5D8C5"/>
      </x:top>
      <x:bottom style="thin">
        <x:color rgb="FFE5D8C5"/>
      </x:bottom>
    </x:border>
    <x:border>
      <x:right style="thin">
        <x:color rgb="FFE5D8C5"/>
      </x:right>
      <x:top style="thin">
        <x:color rgb="FFE5D8C5"/>
      </x:top>
    </x:border>
    <x:border>
      <x:left style="thin">
        <x:color rgb="FFE5D8C5"/>
      </x:left>
      <x:right style="thin">
        <x:color rgb="FFE5D8C5"/>
      </x:right>
      <x:top style="thin">
        <x:color rgb="FFE5D8C5"/>
      </x:top>
    </x:border>
    <x:border>
      <x:left style="thin">
        <x:color rgb="FFE5D8C5"/>
      </x:left>
      <x:top style="thin">
        <x:color rgb="FFE5D8C5"/>
      </x:top>
    </x:border>
    <x:border>
      <x:right style="thin">
        <x:color rgb="FFE4D6C3"/>
      </x:right>
      <x:top style="thin">
        <x:color rgb="FFE4D6C3"/>
      </x:top>
      <x:bottom style="thin">
        <x:color rgb="FFE4D6C3"/>
      </x:bottom>
    </x:border>
    <x:border>
      <x:left style="thin">
        <x:color rgb="FFE4D6C3"/>
      </x:left>
      <x:right style="thin">
        <x:color rgb="FFE4D6C3"/>
      </x:right>
      <x:top style="thin">
        <x:color rgb="FFE4D6C3"/>
      </x:top>
      <x:bottom style="thin">
        <x:color rgb="FFE4D6C3"/>
      </x:bottom>
    </x:border>
    <x:border>
      <x:left style="thin">
        <x:color rgb="FFE4D6C3"/>
      </x:left>
      <x:top style="thin">
        <x:color rgb="FFE4D6C3"/>
      </x:top>
      <x:bottom style="thin">
        <x:color rgb="FFE4D6C3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2" borderId="5" xfId="0" applyNumberFormat="1" applyFont="1" applyFill="1" applyBorder="1" applyAlignment="1">
      <x:alignment vertical="top" wrapText="1"/>
    </x:xf>
    <x:xf numFmtId="0" fontId="0" fillId="2" borderId="8" xfId="0" applyNumberFormat="1" applyFont="1" applyFill="1" applyBorder="1" applyAlignment="1">
      <x:alignment vertical="top" wrapText="1"/>
    </x:xf>
    <x:xf numFmtId="0" fontId="0" fillId="2" borderId="11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horizontal="center" vertical="top" wrapText="1"/>
    </x:xf>
    <x:xf numFmtId="0" fontId="1" fillId="2" borderId="8" xfId="0" applyNumberFormat="1" applyFont="1" applyFill="1" applyBorder="1" applyAlignment="1">
      <x:alignment horizontal="center"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3" xfId="0" applyNumberFormat="1" applyFont="1" applyFill="1" applyBorder="1"/>
    <x:xf numFmtId="0" fontId="7" fillId="7" borderId="14" xfId="0" applyNumberFormat="1" applyFont="1" applyFill="1" applyBorder="1"/>
    <x:xf numFmtId="0" fontId="7" fillId="7" borderId="15" xfId="0" applyNumberFormat="1" applyFont="1" applyFill="1" applyBorder="1"/>
    <x:xf numFmtId="0" fontId="7" fillId="7" borderId="13" xfId="0" applyNumberFormat="1" applyFont="1" applyFill="1" applyBorder="1" applyAlignment="1">
      <x:alignment wrapText="1"/>
    </x:xf>
    <x:xf numFmtId="0" fontId="7" fillId="7" borderId="14" xfId="0" applyNumberFormat="1" applyFont="1" applyFill="1" applyBorder="1" applyAlignment="1">
      <x:alignment wrapText="1"/>
    </x:xf>
    <x:xf numFmtId="0" fontId="7" fillId="7" borderId="15" xfId="0" applyNumberFormat="1" applyFont="1" applyFill="1" applyBorder="1" applyAlignment="1">
      <x:alignment wrapText="1"/>
    </x:xf>
    <x:xf numFmtId="0" fontId="7" fillId="7" borderId="13" xfId="0" applyNumberFormat="1" applyFont="1" applyFill="1" applyBorder="1" applyAlignment="1">
      <x:alignment vertical="top" wrapText="1"/>
    </x:xf>
    <x:xf numFmtId="0" fontId="7" fillId="7" borderId="14" xfId="0" applyNumberFormat="1" applyFont="1" applyFill="1" applyBorder="1" applyAlignment="1">
      <x:alignment vertical="top" wrapText="1"/>
    </x:xf>
    <x:xf numFmtId="0" fontId="7" fillId="7" borderId="15" xfId="0" applyNumberFormat="1" applyFont="1" applyFill="1" applyBorder="1" applyAlignment="1">
      <x:alignment vertical="top" wrapText="1"/>
    </x:xf>
    <x:xf numFmtId="0" fontId="7" fillId="8" borderId="13" xfId="0" applyNumberFormat="1" applyFont="1" applyFill="1" applyBorder="1" applyAlignment="1">
      <x:alignment vertical="top" wrapText="1"/>
    </x:xf>
    <x:xf numFmtId="0" fontId="7" fillId="8" borderId="14" xfId="0" applyNumberFormat="1" applyFont="1" applyFill="1" applyBorder="1" applyAlignment="1">
      <x:alignment vertical="top" wrapText="1"/>
    </x:xf>
    <x:xf numFmtId="0" fontId="7" fillId="8" borderId="15" xfId="0" applyNumberFormat="1" applyFont="1" applyFill="1" applyBorder="1" applyAlignment="1">
      <x:alignment vertical="top" wrapText="1"/>
    </x:xf>
    <x:xf numFmtId="0" fontId="7" fillId="9" borderId="13" xfId="0" applyNumberFormat="1" applyFont="1" applyFill="1" applyBorder="1" applyAlignment="1">
      <x:alignment vertical="top" wrapText="1"/>
    </x:xf>
    <x:xf numFmtId="0" fontId="7" fillId="9" borderId="14" xfId="0" applyNumberFormat="1" applyFont="1" applyFill="1" applyBorder="1" applyAlignment="1">
      <x:alignment vertical="top" wrapText="1"/>
    </x:xf>
    <x:xf numFmtId="0" fontId="7" fillId="10" borderId="13" xfId="0" applyNumberFormat="1" applyFont="1" applyFill="1" applyBorder="1" applyAlignment="1">
      <x:alignment vertical="top" wrapText="1"/>
    </x:xf>
    <x:xf numFmtId="0" fontId="7" fillId="10" borderId="14" xfId="0" applyNumberFormat="1" applyFont="1" applyFill="1" applyBorder="1" applyAlignment="1">
      <x:alignment vertical="top" wrapText="1"/>
    </x:xf>
    <x:xf numFmtId="0" fontId="7" fillId="11" borderId="13" xfId="0" applyNumberFormat="1" applyFont="1" applyFill="1" applyBorder="1" applyAlignment="1">
      <x:alignment vertical="top" wrapText="1"/>
    </x:xf>
    <x:xf numFmtId="0" fontId="7" fillId="11" borderId="14" xfId="0" applyNumberFormat="1" applyFont="1" applyFill="1" applyBorder="1" applyAlignment="1">
      <x:alignment vertical="top" wrapText="1"/>
    </x:xf>
    <x:xf numFmtId="0" fontId="7" fillId="12" borderId="13" xfId="0" applyNumberFormat="1" applyFont="1" applyFill="1" applyBorder="1" applyAlignment="1">
      <x:alignment vertical="top" wrapText="1"/>
    </x:xf>
    <x:xf numFmtId="0" fontId="7" fillId="12" borderId="14" xfId="0" applyNumberFormat="1" applyFont="1" applyFill="1" applyBorder="1" applyAlignment="1">
      <x:alignment vertical="top" wrapText="1"/>
    </x:xf>
    <x:xf numFmtId="0" fontId="7" fillId="13" borderId="13" xfId="0" applyNumberFormat="1" applyFont="1" applyFill="1" applyBorder="1" applyAlignment="1">
      <x:alignment vertical="top" wrapText="1"/>
    </x:xf>
    <x:xf numFmtId="0" fontId="7" fillId="13" borderId="14" xfId="0" applyNumberFormat="1" applyFont="1" applyFill="1" applyBorder="1" applyAlignment="1">
      <x:alignment vertical="top" wrapText="1"/>
    </x:xf>
    <x:xf numFmtId="0" fontId="7" fillId="14" borderId="13" xfId="0" applyNumberFormat="1" applyFont="1" applyFill="1" applyBorder="1" applyAlignment="1">
      <x:alignment vertical="top" wrapText="1"/>
    </x:xf>
    <x:xf numFmtId="0" fontId="7" fillId="14" borderId="14" xfId="0" applyNumberFormat="1" applyFont="1" applyFill="1" applyBorder="1" applyAlignment="1">
      <x:alignment vertical="top" wrapText="1"/>
    </x:xf>
  </x:cellXfs>
  <x:cellStyles count="1">
    <x:cellStyle name="Normal" xfId="0"/>
  </x:cellStyles>
  <x:dxfs count="48">
    <x:dxf>
      <x:font>
        <x:color rgb="FF24502B"/>
      </x:font>
      <x:fill>
        <x:patternFill>
          <x:bgColor rgb="FFDDEEDD"/>
        </x:patternFill>
      </x:fill>
    </x:dxf>
    <x:dxf>
      <x:font>
        <x:b/>
        <x:color rgb="FF24502B"/>
      </x:font>
      <x:fill>
        <x:patternFill>
          <x:bgColor rgb="FFDDEEDD"/>
        </x:patternFill>
      </x:fill>
    </x:dxf>
    <x:dxf>
      <x:font>
        <x:color rgb="FF6C4A00"/>
      </x:font>
      <x:fill>
        <x:patternFill>
          <x:bgColor rgb="FFFCE8B2"/>
        </x:patternFill>
      </x:fill>
    </x:dxf>
    <x:dxf>
      <x:font>
        <x:color rgb="FF6C4A00"/>
      </x:font>
      <x:fill>
        <x:patternFill>
          <x:bgColor rgb="FFFCE8B2"/>
        </x:patternFill>
      </x:fill>
    </x:dxf>
    <x:dxf>
      <x:font>
        <x:b/>
        <x:color rgb="FF7A1C1C"/>
      </x:font>
      <x:fill>
        <x:patternFill>
          <x:bgColor rgb="FFF6D6D6"/>
        </x:patternFill>
      </x:fill>
    </x:dxf>
    <x:dxf>
      <x:font>
        <x:b/>
        <x:color rgb="FF7A1C1C"/>
      </x:font>
      <x:fill>
        <x:patternFill>
          <x:bgColor rgb="FFF6D6D6"/>
        </x:patternFill>
      </x:fill>
    </x:dxf>
    <x:dxf>
      <x:font>
        <x:color rgb="FF24502B"/>
      </x:font>
      <x:fill>
        <x:patternFill>
          <x:bgColor rgb="FFDDEEDD"/>
        </x:patternFill>
      </x:fill>
    </x:dxf>
    <x:dxf>
      <x:font>
        <x:b/>
        <x:color rgb="FF24502B"/>
      </x:font>
      <x:fill>
        <x:patternFill>
          <x:bgColor rgb="FFDDEEDD"/>
        </x:patternFill>
      </x:fill>
    </x:dxf>
    <x:dxf>
      <x:font>
        <x:color rgb="FF6C4A00"/>
      </x:font>
      <x:fill>
        <x:patternFill>
          <x:bgColor rgb="FFFCE8B2"/>
        </x:patternFill>
      </x:fill>
    </x:dxf>
    <x:dxf>
      <x:font>
        <x:color rgb="FF6C4A00"/>
      </x:font>
      <x:fill>
        <x:patternFill>
          <x:bgColor rgb="FFFCE8B2"/>
        </x:patternFill>
      </x:fill>
    </x:dxf>
    <x:dxf>
      <x:font>
        <x:b/>
        <x:color rgb="FF7A1C1C"/>
      </x:font>
      <x:fill>
        <x:patternFill>
          <x:bgColor rgb="FFF6D6D6"/>
        </x:patternFill>
      </x:fill>
    </x:dxf>
    <x:dxf>
      <x:font>
        <x:b/>
        <x:color rgb="FF7A1C1C"/>
      </x:font>
      <x:fill>
        <x:patternFill>
          <x:bgColor rgb="FFF6D6D6"/>
        </x:patternFill>
      </x:fill>
    </x:dxf>
    <x:dxf>
      <x:font>
        <x:color rgb="FF24502B"/>
      </x:font>
      <x:fill>
        <x:patternFill>
          <x:bgColor rgb="FFDDEEDD"/>
        </x:patternFill>
      </x:fill>
    </x:dxf>
    <x:dxf>
      <x:font>
        <x:b/>
        <x:color rgb="FF24502B"/>
      </x:font>
      <x:fill>
        <x:patternFill>
          <x:bgColor rgb="FFDDEEDD"/>
        </x:patternFill>
      </x:fill>
    </x:dxf>
    <x:dxf>
      <x:font>
        <x:color rgb="FF6C4A00"/>
      </x:font>
      <x:fill>
        <x:patternFill>
          <x:bgColor rgb="FFFCE8B2"/>
        </x:patternFill>
      </x:fill>
    </x:dxf>
    <x:dxf>
      <x:font>
        <x:color rgb="FF6C4A00"/>
      </x:font>
      <x:fill>
        <x:patternFill>
          <x:bgColor rgb="FFFCE8B2"/>
        </x:patternFill>
      </x:fill>
    </x:dxf>
    <x:dxf>
      <x:font>
        <x:b/>
        <x:color rgb="FF7A1C1C"/>
      </x:font>
      <x:fill>
        <x:patternFill>
          <x:bgColor rgb="FFF6D6D6"/>
        </x:patternFill>
      </x:fill>
    </x:dxf>
    <x:dxf>
      <x:font>
        <x:b/>
        <x:color rgb="FF7A1C1C"/>
      </x:font>
      <x:fill>
        <x:patternFill>
          <x:bgColor rgb="FFF6D6D6"/>
        </x:patternFill>
      </x:fill>
    </x:dxf>
    <x:dxf>
      <x:font>
        <x:color rgb="FF24502B"/>
      </x:font>
      <x:fill>
        <x:patternFill>
          <x:bgColor rgb="FFDDEEDD"/>
        </x:patternFill>
      </x:fill>
    </x:dxf>
    <x:dxf>
      <x:font>
        <x:b/>
        <x:color rgb="FF24502B"/>
      </x:font>
      <x:fill>
        <x:patternFill>
          <x:bgColor rgb="FFDDEEDD"/>
        </x:patternFill>
      </x:fill>
    </x:dxf>
    <x:dxf>
      <x:font>
        <x:color rgb="FF6C4A00"/>
      </x:font>
      <x:fill>
        <x:patternFill>
          <x:bgColor rgb="FFFCE8B2"/>
        </x:patternFill>
      </x:fill>
    </x:dxf>
    <x:dxf>
      <x:font>
        <x:color rgb="FF6C4A00"/>
      </x:font>
      <x:fill>
        <x:patternFill>
          <x:bgColor rgb="FFFCE8B2"/>
        </x:patternFill>
      </x:fill>
    </x:dxf>
    <x:dxf>
      <x:font>
        <x:b/>
        <x:color rgb="FF7A1C1C"/>
      </x:font>
      <x:fill>
        <x:patternFill>
          <x:bgColor rgb="FFF6D6D6"/>
        </x:patternFill>
      </x:fill>
    </x:dxf>
    <x:dxf>
      <x:font>
        <x:b/>
        <x:color rgb="FF7A1C1C"/>
      </x:font>
      <x:fill>
        <x:patternFill>
          <x:bgColor rgb="FFF6D6D6"/>
        </x:patternFill>
      </x:fill>
    </x:dxf>
    <x:dxf>
      <x:font>
        <x:color rgb="FF24502B"/>
      </x:font>
      <x:fill>
        <x:patternFill>
          <x:bgColor rgb="FFDDEEDD"/>
        </x:patternFill>
      </x:fill>
    </x:dxf>
    <x:dxf>
      <x:font>
        <x:b/>
        <x:color rgb="FF24502B"/>
      </x:font>
      <x:fill>
        <x:patternFill>
          <x:bgColor rgb="FFDDEEDD"/>
        </x:patternFill>
      </x:fill>
    </x:dxf>
    <x:dxf>
      <x:font>
        <x:color rgb="FF6C4A00"/>
      </x:font>
      <x:fill>
        <x:patternFill>
          <x:bgColor rgb="FFFCE8B2"/>
        </x:patternFill>
      </x:fill>
    </x:dxf>
    <x:dxf>
      <x:font>
        <x:color rgb="FF6C4A00"/>
      </x:font>
      <x:fill>
        <x:patternFill>
          <x:bgColor rgb="FFFCE8B2"/>
        </x:patternFill>
      </x:fill>
    </x:dxf>
    <x:dxf>
      <x:font>
        <x:b/>
        <x:color rgb="FF7A1C1C"/>
      </x:font>
      <x:fill>
        <x:patternFill>
          <x:bgColor rgb="FFF6D6D6"/>
        </x:patternFill>
      </x:fill>
    </x:dxf>
    <x:dxf>
      <x:font>
        <x:b/>
        <x:color rgb="FF7A1C1C"/>
      </x:font>
      <x:fill>
        <x:patternFill>
          <x:bgColor rgb="FFF6D6D6"/>
        </x:patternFill>
      </x:fill>
    </x:dxf>
    <x:dxf>
      <x:font>
        <x:color rgb="FF24502B"/>
      </x:font>
      <x:fill>
        <x:patternFill>
          <x:bgColor rgb="FFDDEEDD"/>
        </x:patternFill>
      </x:fill>
    </x:dxf>
    <x:dxf>
      <x:font>
        <x:b/>
        <x:color rgb="FF24502B"/>
      </x:font>
      <x:fill>
        <x:patternFill>
          <x:bgColor rgb="FFDDEEDD"/>
        </x:patternFill>
      </x:fill>
    </x:dxf>
    <x:dxf>
      <x:font>
        <x:color rgb="FF6C4A00"/>
      </x:font>
      <x:fill>
        <x:patternFill>
          <x:bgColor rgb="FFFCE8B2"/>
        </x:patternFill>
      </x:fill>
    </x:dxf>
    <x:dxf>
      <x:font>
        <x:color rgb="FF6C4A00"/>
      </x:font>
      <x:fill>
        <x:patternFill>
          <x:bgColor rgb="FFFCE8B2"/>
        </x:patternFill>
      </x:fill>
    </x:dxf>
    <x:dxf>
      <x:font>
        <x:b/>
        <x:color rgb="FF7A1C1C"/>
      </x:font>
      <x:fill>
        <x:patternFill>
          <x:bgColor rgb="FFF6D6D6"/>
        </x:patternFill>
      </x:fill>
    </x:dxf>
    <x:dxf>
      <x:font>
        <x:b/>
        <x:color rgb="FF7A1C1C"/>
      </x:font>
      <x:fill>
        <x:patternFill>
          <x:bgColor rgb="FFF6D6D6"/>
        </x:patternFill>
      </x:fill>
    </x:dxf>
    <x:dxf>
      <x:font>
        <x:color rgb="FF24502B"/>
      </x:font>
      <x:fill>
        <x:patternFill>
          <x:bgColor rgb="FFDDEEDD"/>
        </x:patternFill>
      </x:fill>
    </x:dxf>
    <x:dxf>
      <x:font>
        <x:b/>
        <x:color rgb="FF24502B"/>
      </x:font>
      <x:fill>
        <x:patternFill>
          <x:bgColor rgb="FFDDEEDD"/>
        </x:patternFill>
      </x:fill>
    </x:dxf>
    <x:dxf>
      <x:font>
        <x:color rgb="FF6C4A00"/>
      </x:font>
      <x:fill>
        <x:patternFill>
          <x:bgColor rgb="FFFCE8B2"/>
        </x:patternFill>
      </x:fill>
    </x:dxf>
    <x:dxf>
      <x:font>
        <x:color rgb="FF6C4A00"/>
      </x:font>
      <x:fill>
        <x:patternFill>
          <x:bgColor rgb="FFFCE8B2"/>
        </x:patternFill>
      </x:fill>
    </x:dxf>
    <x:dxf>
      <x:font>
        <x:b/>
        <x:color rgb="FF7A1C1C"/>
      </x:font>
      <x:fill>
        <x:patternFill>
          <x:bgColor rgb="FFF6D6D6"/>
        </x:patternFill>
      </x:fill>
    </x:dxf>
    <x:dxf>
      <x:font>
        <x:b/>
        <x:color rgb="FF7A1C1C"/>
      </x:font>
      <x:fill>
        <x:patternFill>
          <x:bgColor rgb="FFF6D6D6"/>
        </x:patternFill>
      </x:fill>
    </x:dxf>
    <x:dxf>
      <x:font>
        <x:color rgb="FF24502B"/>
      </x:font>
      <x:fill>
        <x:patternFill>
          <x:bgColor rgb="FFDDEEDD"/>
        </x:patternFill>
      </x:fill>
    </x:dxf>
    <x:dxf>
      <x:font>
        <x:b/>
        <x:color rgb="FF24502B"/>
      </x:font>
      <x:fill>
        <x:patternFill>
          <x:bgColor rgb="FFDDEEDD"/>
        </x:patternFill>
      </x:fill>
    </x:dxf>
    <x:dxf>
      <x:font>
        <x:color rgb="FF6C4A00"/>
      </x:font>
      <x:fill>
        <x:patternFill>
          <x:bgColor rgb="FFFCE8B2"/>
        </x:patternFill>
      </x:fill>
    </x:dxf>
    <x:dxf>
      <x:font>
        <x:color rgb="FF6C4A00"/>
      </x:font>
      <x:fill>
        <x:patternFill>
          <x:bgColor rgb="FFFCE8B2"/>
        </x:patternFill>
      </x:fill>
    </x:dxf>
    <x:dxf>
      <x:font>
        <x:b/>
        <x:color rgb="FF7A1C1C"/>
      </x:font>
      <x:fill>
        <x:patternFill>
          <x:bgColor rgb="FFF6D6D6"/>
        </x:patternFill>
      </x:fill>
    </x:dxf>
    <x:dxf>
      <x:font>
        <x:b/>
        <x:color rgb="FF7A1C1C"/>
      </x:font>
      <x:fill>
        <x:patternFill>
          <x:bgColor rgb="FFF6D6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fd3439bfe4403d" /><Relationship Type="http://schemas.openxmlformats.org/officeDocument/2006/relationships/theme" Target="/xl/theme/theme1.xml" Id="R4bae70180e824ece" /><Relationship Type="http://schemas.openxmlformats.org/officeDocument/2006/relationships/sharedStrings" Target="/xl/sharedStrings.xml" Id="R2feba8c4ea704c88" /><Relationship Type="http://schemas.openxmlformats.org/officeDocument/2006/relationships/worksheet" Target="/xl/worksheets/sheet1.xml" Id="R6b27fb55975a4a39" /><Relationship Type="http://schemas.openxmlformats.org/officeDocument/2006/relationships/worksheet" Target="/xl/worksheets/sheet2.xml" Id="R52ecbc1aa7e541fb" /><Relationship Type="http://schemas.openxmlformats.org/officeDocument/2006/relationships/worksheet" Target="/xl/worksheets/sheet3.xml" Id="R2c2f5684c72941c7" /><Relationship Type="http://schemas.openxmlformats.org/officeDocument/2006/relationships/worksheet" Target="/xl/worksheets/sheet4.xml" Id="R1e16c3fa143544bb" /></Relationships>
</file>

<file path=xl/tables/table1.xml><?xml version="1.0" encoding="utf-8"?>
<x:table xmlns:x="http://schemas.openxmlformats.org/spreadsheetml/2006/main" id="1" name="CharacterMatrixTable" displayName="CharacterMatrixTable" ref="A7:S24" headerRowCount="1" totalsRowCount="0" totalsRowShown="0">
  <x:autoFilter ref="A7:S24"/>
  <x:tableColumns count="19">
    <x:tableColumn id="1" name="#"/>
    <x:tableColumn id="2" name="Glyph"/>
    <x:tableColumn id="3" name="Approved Label"/>
    <x:tableColumn id="4" name="Contextual Spoken Values"/>
    <x:tableColumn id="5" name="Value Count"/>
    <x:tableColumn id="6" name="First Era"/>
    <x:tableColumn id="7" name="First Global Level"/>
    <x:tableColumn id="8" name="First Word Use"/>
    <x:tableColumn id="9" name="Focus-Word Occurrences"/>
    <x:tableColumn id="10" name="Current Character Asset(s)"/>
    <x:tableColumn id="11" name="Display Glyph Asset(s)"/>
    <x:tableColumn id="12" name="Glyph Status"/>
    <x:tableColumn id="13" name="Template Reference(s)"/>
    <x:tableColumn id="14" name="Variant Count"/>
    <x:tableColumn id="15" name="Template Status"/>
    <x:tableColumn id="16" name="Pronunciation Audio"/>
    <x:tableColumn id="17" name="Audio Status"/>
    <x:tableColumn id="18" name="Overall Evidence"/>
    <x:tableColumn id="1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dSlotsTable" displayName="WordSlotsTable" ref="A7:V37" headerRowCount="1" totalsRowCount="0" totalsRowShown="0">
  <x:autoFilter ref="A7:V37"/>
  <x:tableColumns count="22">
    <x:tableColumn id="1" name="Global Level"/>
    <x:tableColumn id="2" name="Era"/>
    <x:tableColumn id="3" name="Era Level"/>
    <x:tableColumn id="4" name="Slot"/>
    <x:tableColumn id="5" name="Latin Word"/>
    <x:tableColumn id="6" name="Spoken Syllable Occurrences"/>
    <x:tableColumn id="7" name="Canonical Visual Sequence"/>
    <x:tableColumn id="8" name="Word Final Syllable"/>
    <x:tableColumn id="9" name="Final Canonical Symbol"/>
    <x:tableColumn id="10" name="Source Last Required"/>
    <x:tableColumn id="11" name="Last-Required Check"/>
    <x:tableColumn id="12" name="Cumulative Symbol Pool"/>
    <x:tableColumn id="13" name="Pool Coverage"/>
    <x:tableColumn id="14" name="Repeat Type"/>
    <x:tableColumn id="15" name="Repeat Of"/>
    <x:tableColumn id="16" name="Repeated Syllables"/>
    <x:tableColumn id="17" name="Kudlit Required"/>
    <x:tableColumn id="18" name="Unsupported Modified Consonant"/>
    <x:tableColumn id="19" name="Workbook Evidence"/>
    <x:tableColumn id="20" name="Decomposition Check"/>
    <x:tableColumn id="21" name="Character/Audio Mapping"/>
    <x:tableColumn id="22" name="Validation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DiscrepancyTable" displayName="DiscrepancyTable" ref="A5:I29" headerRowCount="1" totalsRowCount="0" totalsRowShown="0">
  <x:autoFilter ref="A5:I29"/>
  <x:tableColumns count="9">
    <x:tableColumn id="1" name="ID"/>
    <x:tableColumn id="2" name="Category"/>
    <x:tableColumn id="3" name="Source / Evidence"/>
    <x:tableColumn id="4" name="Current Value"/>
    <x:tableColumn id="5" name="Expected Resolution"/>
    <x:tableColumn id="6" name="Severity"/>
    <x:tableColumn id="7" name="Affected Scope"/>
    <x:tableColumn id="8" name="Owning Follow-up"/>
    <x:tableColumn id="9" name="Disposi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iewLogTable" displayName="ReviewLogTable" ref="A31:I34" headerRowCount="1" totalsRowCount="0" totalsRowShown="0">
  <x:autoFilter ref="A31:I34"/>
  <x:tableColumns count="9">
    <x:tableColumn id="1" name="Review ID"/>
    <x:tableColumn id="2" name="Stage"/>
    <x:tableColumn id="3" name="Reviewer / Owner"/>
    <x:tableColumn id="4" name="Date"/>
    <x:tableColumn id="5" name="Finding"/>
    <x:tableColumn id="6" name="Disposition"/>
    <x:tableColumn id="7" name="Incorporated Evidence"/>
    <x:tableColumn id="8" name="Approval Status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ae0fa2c08446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6edede3cb54f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2f8d7d9ecc941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99c59c7ad1842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440000057220459" hidden="0" customWidth="1"/>
    <x:col min="2" max="2" width="6.440000057220459" hidden="0" customWidth="1"/>
    <x:col min="3" max="3" width="10" hidden="0" customWidth="1"/>
    <x:col min="4" max="4" width="13.329999923706055" hidden="0" customWidth="1"/>
    <x:col min="5" max="5" width="7.559999942779541" hidden="0" customWidth="1"/>
    <x:col min="6" max="6" width="8.890000343322754" hidden="0" customWidth="1"/>
    <x:col min="7" max="7" width="8.890000343322754" hidden="0" customWidth="1"/>
    <x:col min="8" max="8" width="10" hidden="0" customWidth="1"/>
    <x:col min="9" max="9" width="27.780000686645508" hidden="0" customWidth="1"/>
    <x:col min="10" max="10" width="24.440000534057617" hidden="0" customWidth="1"/>
    <x:col min="11" max="11" width="22.219999313354492" hidden="0" customWidth="1"/>
    <x:col min="12" max="12" width="9.109999656677246" hidden="0" customWidth="1"/>
    <x:col min="13" max="13" width="17.780000686645508" hidden="0" customWidth="1"/>
    <x:col min="14" max="14" width="7.78000020980835" hidden="0" customWidth="1"/>
    <x:col min="15" max="15" width="10" hidden="0" customWidth="1"/>
    <x:col min="16" max="16" width="21.110000610351562" hidden="0" customWidth="1"/>
    <x:col min="17" max="17" width="9.109999656677246" hidden="0" customWidth="1"/>
    <x:col min="18" max="18" width="10.5600004196167" hidden="0" customWidth="1"/>
    <x:col min="19" max="19" width="36.66999816894531" hidden="0" customWidth="1"/>
  </x:cols>
  <x:sheetData>
    <x:row r="1" ht="34" customHeight="1">
      <x:c r="A1" s="4" t="str">
        <x:v>TW-SPK-004 — Authoritative Baybayin Character Matrix</x:v>
      </x:c>
      <x:c r="B1" s="4" t="str">
        <x:v>TW-SPK-004 — Authoritative Baybayin Character Matrix</x:v>
      </x:c>
      <x:c r="C1" s="4" t="str">
        <x:v>TW-SPK-004 — Authoritative Baybayin Character Matrix</x:v>
      </x:c>
      <x:c r="D1" s="4" t="str">
        <x:v>TW-SPK-004 — Authoritative Baybayin Character Matrix</x:v>
      </x:c>
      <x:c r="E1" s="4" t="str">
        <x:v>TW-SPK-004 — Authoritative Baybayin Character Matrix</x:v>
      </x:c>
      <x:c r="F1" s="4" t="str">
        <x:v>TW-SPK-004 — Authoritative Baybayin Character Matrix</x:v>
      </x:c>
      <x:c r="G1" s="4" t="str">
        <x:v>TW-SPK-004 — Authoritative Baybayin Character Matrix</x:v>
      </x:c>
      <x:c r="H1" s="4" t="str">
        <x:v>TW-SPK-004 — Authoritative Baybayin Character Matrix</x:v>
      </x:c>
      <x:c r="I1" s="4" t="str">
        <x:v>TW-SPK-004 — Authoritative Baybayin Character Matrix</x:v>
      </x:c>
      <x:c r="J1" s="4" t="str">
        <x:v>TW-SPK-004 — Authoritative Baybayin Character Matrix</x:v>
      </x:c>
      <x:c r="K1" s="4" t="str">
        <x:v>TW-SPK-004 — Authoritative Baybayin Character Matrix</x:v>
      </x:c>
      <x:c r="L1" s="4" t="str">
        <x:v>TW-SPK-004 — Authoritative Baybayin Character Matrix</x:v>
      </x:c>
      <x:c r="M1" s="4" t="str">
        <x:v>TW-SPK-004 — Authoritative Baybayin Character Matrix</x:v>
      </x:c>
      <x:c r="N1" s="4" t="str">
        <x:v>TW-SPK-004 — Authoritative Baybayin Character Matrix</x:v>
      </x:c>
      <x:c r="O1" s="4" t="str">
        <x:v>TW-SPK-004 — Authoritative Baybayin Character Matrix</x:v>
      </x:c>
      <x:c r="P1" s="4" t="str">
        <x:v>TW-SPK-004 — Authoritative Baybayin Character Matrix</x:v>
      </x:c>
      <x:c r="Q1" s="4" t="str">
        <x:v>TW-SPK-004 — Authoritative Baybayin Character Matrix</x:v>
      </x:c>
      <x:c r="R1" s="4" t="str">
        <x:v>TW-SPK-004 — Authoritative Baybayin Character Matrix</x:v>
      </x:c>
      <x:c r="S1" s="4" t="str">
        <x:v>TW-SPK-004 — Authoritative Baybayin Character Matrix</x:v>
      </x:c>
    </x:row>
    <x:row r="3">
      <x:c r="A3" s="7" t="str">
        <x:v>QC</x:v>
      </x:c>
      <x:c r="B3" s="7" t="str">
        <x:v>Canonical rows</x:v>
      </x:c>
      <x:c r="C3" s="7" t="str">
        <x:v>Contextual value records</x:v>
      </x:c>
      <x:c r="D3" s="7" t="str">
        <x:v>Shared DA/RA rows</x:v>
      </x:c>
      <x:c r="E3" s="7" t="str">
        <x:v>Fully existing audio rows</x:v>
      </x:c>
      <x:c r="F3" s="7" t="str">
        <x:v>Rows with open evidence</x:v>
      </x:c>
      <x:c r="G3"/>
      <x:c r="H3"/>
      <x:c r="I3"/>
      <x:c r="J3"/>
    </x:row>
    <x:row r="4">
      <x:c r="A4" s="10" t="str">
        <x:v>Result</x:v>
      </x:c>
      <x:c r="B4" s="10" t="n">
        <x:f>COUNTA(A8:A24)</x:f>
        <x:v>17</x:v>
      </x:c>
      <x:c r="C4" s="10" t="n">
        <x:f>SUM(E8:E24)</x:f>
        <x:v>18</x:v>
      </x:c>
      <x:c r="D4" s="10" t="n">
        <x:f>COUNTIF(C8:C24,"DA/RA")</x:f>
        <x:v>1</x:v>
      </x:c>
      <x:c r="E4" s="10" t="n">
        <x:f>COUNTIF(Q8:Q24,"Existing")</x:f>
        <x:v>5</x:v>
      </x:c>
      <x:c r="F4" s="10" t="n">
        <x:f>COUNTIF(R8:R24,"&lt;&gt;Existing")</x:f>
        <x:v>15</x:v>
      </x:c>
      <x:c r="G4"/>
      <x:c r="H4"/>
      <x:c r="I4"/>
      <x:c r="J4"/>
    </x:row>
    <x:row r="6">
      <x:c r="A6" s="13" t="str">
        <x:v>Source: files/backlog/CORE GAME MECHANICS.xlsx | Approved checksum: 4a2996ef4f4d3102b4657b1e8bf2b54b2183bc7748d3931a6bb674d2f92ecc9d | Status: Pending TW-RES-001/SALIN-188 Review</x:v>
      </x:c>
      <x:c r="B6" s="13" t="str">
        <x:v>Source: files/backlog/CORE GAME MECHANICS.xlsx | Approved checksum: 4a2996ef4f4d3102b4657b1e8bf2b54b2183bc7748d3931a6bb674d2f92ecc9d | Status: Pending TW-RES-001/SALIN-188 Review</x:v>
      </x:c>
      <x:c r="C6" s="13" t="str">
        <x:v>Source: files/backlog/CORE GAME MECHANICS.xlsx | Approved checksum: 4a2996ef4f4d3102b4657b1e8bf2b54b2183bc7748d3931a6bb674d2f92ecc9d | Status: Pending TW-RES-001/SALIN-188 Review</x:v>
      </x:c>
      <x:c r="D6" s="13" t="str">
        <x:v>Source: files/backlog/CORE GAME MECHANICS.xlsx | Approved checksum: 4a2996ef4f4d3102b4657b1e8bf2b54b2183bc7748d3931a6bb674d2f92ecc9d | Status: Pending TW-RES-001/SALIN-188 Review</x:v>
      </x:c>
      <x:c r="E6" s="13" t="str">
        <x:v>Source: files/backlog/CORE GAME MECHANICS.xlsx | Approved checksum: 4a2996ef4f4d3102b4657b1e8bf2b54b2183bc7748d3931a6bb674d2f92ecc9d | Status: Pending TW-RES-001/SALIN-188 Review</x:v>
      </x:c>
      <x:c r="F6" s="13" t="str">
        <x:v>Source: files/backlog/CORE GAME MECHANICS.xlsx | Approved checksum: 4a2996ef4f4d3102b4657b1e8bf2b54b2183bc7748d3931a6bb674d2f92ecc9d | Status: Pending TW-RES-001/SALIN-188 Review</x:v>
      </x:c>
      <x:c r="G6" s="13" t="str">
        <x:v>Source: files/backlog/CORE GAME MECHANICS.xlsx | Approved checksum: 4a2996ef4f4d3102b4657b1e8bf2b54b2183bc7748d3931a6bb674d2f92ecc9d | Status: Pending TW-RES-001/SALIN-188 Review</x:v>
      </x:c>
      <x:c r="H6" s="13" t="str">
        <x:v>Source: files/backlog/CORE GAME MECHANICS.xlsx | Approved checksum: 4a2996ef4f4d3102b4657b1e8bf2b54b2183bc7748d3931a6bb674d2f92ecc9d | Status: Pending TW-RES-001/SALIN-188 Review</x:v>
      </x:c>
      <x:c r="I6" s="13" t="str">
        <x:v>Source: files/backlog/CORE GAME MECHANICS.xlsx | Approved checksum: 4a2996ef4f4d3102b4657b1e8bf2b54b2183bc7748d3931a6bb674d2f92ecc9d | Status: Pending TW-RES-001/SALIN-188 Review</x:v>
      </x:c>
      <x:c r="J6" s="13" t="str">
        <x:v>Source: files/backlog/CORE GAME MECHANICS.xlsx | Approved checksum: 4a2996ef4f4d3102b4657b1e8bf2b54b2183bc7748d3931a6bb674d2f92ecc9d | Status: Pending TW-RES-001/SALIN-188 Review</x:v>
      </x:c>
      <x:c r="K6" s="13" t="str">
        <x:v>Source: files/backlog/CORE GAME MECHANICS.xlsx | Approved checksum: 4a2996ef4f4d3102b4657b1e8bf2b54b2183bc7748d3931a6bb674d2f92ecc9d | Status: Pending TW-RES-001/SALIN-188 Review</x:v>
      </x:c>
      <x:c r="L6" s="13" t="str">
        <x:v>Source: files/backlog/CORE GAME MECHANICS.xlsx | Approved checksum: 4a2996ef4f4d3102b4657b1e8bf2b54b2183bc7748d3931a6bb674d2f92ecc9d | Status: Pending TW-RES-001/SALIN-188 Review</x:v>
      </x:c>
      <x:c r="M6" s="13" t="str">
        <x:v>Source: files/backlog/CORE GAME MECHANICS.xlsx | Approved checksum: 4a2996ef4f4d3102b4657b1e8bf2b54b2183bc7748d3931a6bb674d2f92ecc9d | Status: Pending TW-RES-001/SALIN-188 Review</x:v>
      </x:c>
      <x:c r="N6" s="13" t="str">
        <x:v>Source: files/backlog/CORE GAME MECHANICS.xlsx | Approved checksum: 4a2996ef4f4d3102b4657b1e8bf2b54b2183bc7748d3931a6bb674d2f92ecc9d | Status: Pending TW-RES-001/SALIN-188 Review</x:v>
      </x:c>
      <x:c r="O6" s="13" t="str">
        <x:v>Source: files/backlog/CORE GAME MECHANICS.xlsx | Approved checksum: 4a2996ef4f4d3102b4657b1e8bf2b54b2183bc7748d3931a6bb674d2f92ecc9d | Status: Pending TW-RES-001/SALIN-188 Review</x:v>
      </x:c>
      <x:c r="P6" s="13" t="str">
        <x:v>Source: files/backlog/CORE GAME MECHANICS.xlsx | Approved checksum: 4a2996ef4f4d3102b4657b1e8bf2b54b2183bc7748d3931a6bb674d2f92ecc9d | Status: Pending TW-RES-001/SALIN-188 Review</x:v>
      </x:c>
      <x:c r="Q6" s="13" t="str">
        <x:v>Source: files/backlog/CORE GAME MECHANICS.xlsx | Approved checksum: 4a2996ef4f4d3102b4657b1e8bf2b54b2183bc7748d3931a6bb674d2f92ecc9d | Status: Pending TW-RES-001/SALIN-188 Review</x:v>
      </x:c>
      <x:c r="R6" s="13" t="str">
        <x:v>Source: files/backlog/CORE GAME MECHANICS.xlsx | Approved checksum: 4a2996ef4f4d3102b4657b1e8bf2b54b2183bc7748d3931a6bb674d2f92ecc9d | Status: Pending TW-RES-001/SALIN-188 Review</x:v>
      </x:c>
      <x:c r="S6" s="13" t="str">
        <x:v>Source: files/backlog/CORE GAME MECHANICS.xlsx | Approved checksum: 4a2996ef4f4d3102b4657b1e8bf2b54b2183bc7748d3931a6bb674d2f92ecc9d | Status: Pending TW-RES-001/SALIN-188 Review</x:v>
      </x:c>
    </x:row>
    <x:row r="7" ht="36" customHeight="1">
      <x:c r="A7" s="22" t="str">
        <x:v>#</x:v>
      </x:c>
      <x:c r="B7" s="23" t="str">
        <x:v>Glyph</x:v>
      </x:c>
      <x:c r="C7" s="23" t="str">
        <x:v>Approved Label</x:v>
      </x:c>
      <x:c r="D7" s="23" t="str">
        <x:v>Contextual Spoken Values</x:v>
      </x:c>
      <x:c r="E7" s="23" t="str">
        <x:v>Value Count</x:v>
      </x:c>
      <x:c r="F7" s="23" t="str">
        <x:v>First Era</x:v>
      </x:c>
      <x:c r="G7" s="23" t="str">
        <x:v>First Global Level</x:v>
      </x:c>
      <x:c r="H7" s="23" t="str">
        <x:v>First Word Use</x:v>
      </x:c>
      <x:c r="I7" s="23" t="str">
        <x:v>Focus-Word Occurrences</x:v>
      </x:c>
      <x:c r="J7" s="23" t="str">
        <x:v>Current Character Asset(s)</x:v>
      </x:c>
      <x:c r="K7" s="23" t="str">
        <x:v>Display Glyph Asset(s)</x:v>
      </x:c>
      <x:c r="L7" s="23" t="str">
        <x:v>Glyph Status</x:v>
      </x:c>
      <x:c r="M7" s="23" t="str">
        <x:v>Template Reference(s)</x:v>
      </x:c>
      <x:c r="N7" s="23" t="str">
        <x:v>Variant Count</x:v>
      </x:c>
      <x:c r="O7" s="23" t="str">
        <x:v>Template Status</x:v>
      </x:c>
      <x:c r="P7" s="23" t="str">
        <x:v>Pronunciation Audio</x:v>
      </x:c>
      <x:c r="Q7" s="23" t="str">
        <x:v>Audio Status</x:v>
      </x:c>
      <x:c r="R7" s="23" t="str">
        <x:v>Overall Evidence</x:v>
      </x:c>
      <x:c r="S7" s="24" t="str">
        <x:v>Notes</x:v>
      </x:c>
    </x:row>
    <x:row r="8" ht="66" customHeight="1">
      <x:c r="A8" s="43" t="n">
        <x:v>1</x:v>
      </x:c>
      <x:c r="B8" s="61" t="str">
        <x:v>ᜀ</x:v>
      </x:c>
      <x:c r="C8" s="44" t="str">
        <x:v>A</x:v>
      </x:c>
      <x:c r="D8" s="44" t="str">
        <x:v>A</x:v>
      </x:c>
      <x:c r="E8" s="44" t="n">
        <x:v>1</x:v>
      </x:c>
      <x:c r="F8" s="44" t="str">
        <x:v>Ugat</x:v>
      </x:c>
      <x:c r="G8" s="44" t="n">
        <x:v>1</x:v>
      </x:c>
      <x:c r="H8" s="44" t="str">
        <x:v>AMA</x:v>
      </x:c>
      <x:c r="I8" s="44" t="str">
        <x:v>AMA (L1S2), AMA (L4S2), AWA (L6S1), ALAALA (L14S1)</x:v>
      </x:c>
      <x:c r="J8" s="44" t="str">
        <x:v>Assets/ScriptableObjects/Characters/Char_A.asset</x:v>
      </x:c>
      <x:c r="K8" s="44" t="str">
        <x:v>Assets/Resources/A.png</x:v>
      </x:c>
      <x:c r="L8" s="44" t="str">
        <x:v>Existing</x:v>
      </x:c>
      <x:c r="M8" s="44" t="str">
        <x:v>A_template_01</x:v>
      </x:c>
      <x:c r="N8" s="44" t="n">
        <x:v>5</x:v>
      </x:c>
      <x:c r="O8" s="44" t="str">
        <x:v>Existing</x:v>
      </x:c>
      <x:c r="P8" s="44" t="str">
        <x:v>Planned</x:v>
      </x:c>
      <x:c r="Q8" s="44" t="str">
        <x:v>Planned</x:v>
      </x:c>
      <x:c r="R8" s="44" t="str">
        <x:v>Partial</x:v>
      </x:c>
      <x:c r="S8" s="45" t="str">
        <x:v>Character/glyph/template exist; pronunciation audio is planned by this matrix.</x:v>
      </x:c>
    </x:row>
    <x:row r="9" ht="66" customHeight="1">
      <x:c r="A9" s="46" t="n">
        <x:v>2</x:v>
      </x:c>
      <x:c r="B9" s="62" t="str">
        <x:v>ᜁ</x:v>
      </x:c>
      <x:c r="C9" s="47" t="str">
        <x:v>E/I</x:v>
      </x:c>
      <x:c r="D9" s="47" t="str">
        <x:v>E/I</x:v>
      </x:c>
      <x:c r="E9" s="47" t="n">
        <x:v>1</x:v>
      </x:c>
      <x:c r="F9" s="47" t="str">
        <x:v>Ugat</x:v>
      </x:c>
      <x:c r="G9" s="47" t="n">
        <x:v>1</x:v>
      </x:c>
      <x:c r="H9" s="47" t="str">
        <x:v>INA</x:v>
      </x:c>
      <x:c r="I9" s="47" t="str">
        <x:v>INA (L1S1), INA (L4S1), IBA (L5S1)</x:v>
      </x:c>
      <x:c r="J9" s="47" t="str">
        <x:v>Assets/ScriptableObjects/Characters/Char_EI.asset</x:v>
      </x:c>
      <x:c r="K9" s="47" t="str">
        <x:v>Assets/Resources/E-I.png</x:v>
      </x:c>
      <x:c r="L9" s="47" t="str">
        <x:v>Existing</x:v>
      </x:c>
      <x:c r="M9" s="47" t="str">
        <x:v>EI_template_01</x:v>
      </x:c>
      <x:c r="N9" s="47" t="n">
        <x:v>5</x:v>
      </x:c>
      <x:c r="O9" s="47" t="str">
        <x:v>Existing</x:v>
      </x:c>
      <x:c r="P9" s="47" t="str">
        <x:v>Planned</x:v>
      </x:c>
      <x:c r="Q9" s="47" t="str">
        <x:v>Planned</x:v>
      </x:c>
      <x:c r="R9" s="47" t="str">
        <x:v>Partial</x:v>
      </x:c>
      <x:c r="S9" s="48" t="str">
        <x:v>Character/glyph/template exist; pronunciation audio is planned by this matrix.</x:v>
      </x:c>
    </x:row>
    <x:row r="10" ht="66" customHeight="1">
      <x:c r="A10" s="46" t="n">
        <x:v>3</x:v>
      </x:c>
      <x:c r="B10" s="62" t="str">
        <x:v>ᜊ</x:v>
      </x:c>
      <x:c r="C10" s="47" t="str">
        <x:v>BA</x:v>
      </x:c>
      <x:c r="D10" s="47" t="str">
        <x:v>BA</x:v>
      </x:c>
      <x:c r="E10" s="47" t="n">
        <x:v>1</x:v>
      </x:c>
      <x:c r="F10" s="47" t="str">
        <x:v>Ugat</x:v>
      </x:c>
      <x:c r="G10" s="47" t="n">
        <x:v>2</x:v>
      </x:c>
      <x:c r="H10" s="47" t="str">
        <x:v>BATA</x:v>
      </x:c>
      <x:c r="I10" s="47" t="str">
        <x:v>BATA (L2S1), BATA (L3S1), IBA (L5S1)</x:v>
      </x:c>
      <x:c r="J10" s="47" t="str">
        <x:v>Assets/ScriptableObjects/Characters/Char_BA.asset</x:v>
      </x:c>
      <x:c r="K10" s="47" t="str">
        <x:v>Assets/Resources/BA-VA.png</x:v>
      </x:c>
      <x:c r="L10" s="47" t="str">
        <x:v>Existing</x:v>
      </x:c>
      <x:c r="M10" s="47" t="str">
        <x:v>BA_template_01</x:v>
      </x:c>
      <x:c r="N10" s="47" t="n">
        <x:v>5</x:v>
      </x:c>
      <x:c r="O10" s="47" t="str">
        <x:v>Existing</x:v>
      </x:c>
      <x:c r="P10" s="47" t="str">
        <x:v>Assets/Audio/Pronunciation/BA.wav</x:v>
      </x:c>
      <x:c r="Q10" s="47" t="str">
        <x:v>Existing</x:v>
      </x:c>
      <x:c r="R10" s="47" t="str">
        <x:v>Existing</x:v>
      </x:c>
      <x:c r="S10" s="48" t="str">
        <x:v>Repository evidence reconciled by GUID/path.</x:v>
      </x:c>
    </x:row>
    <x:row r="11" ht="66" customHeight="1">
      <x:c r="A11" s="46" t="n">
        <x:v>4</x:v>
      </x:c>
      <x:c r="B11" s="62" t="str">
        <x:v>ᜋ</x:v>
      </x:c>
      <x:c r="C11" s="47" t="str">
        <x:v>MA</x:v>
      </x:c>
      <x:c r="D11" s="47" t="str">
        <x:v>MA</x:v>
      </x:c>
      <x:c r="E11" s="47" t="n">
        <x:v>1</x:v>
      </x:c>
      <x:c r="F11" s="47" t="str">
        <x:v>Ugat</x:v>
      </x:c>
      <x:c r="G11" s="47" t="n">
        <x:v>1</x:v>
      </x:c>
      <x:c r="H11" s="47" t="str">
        <x:v>AMA</x:v>
      </x:c>
      <x:c r="I11" s="47" t="str">
        <x:v>AMA (L1S2), MATA (L2S2), TAMA (L3S2), AMA (L4S2), MANA (L5S2), SAMA (L7S1), KASAMA (L7S2), DAMA (L11S2), MAHALAGA (L14S2), PAMANA (L15S1), MALAYA (L15S2)</x:v>
      </x:c>
      <x:c r="J11" s="47" t="str">
        <x:v>Assets/ScriptableObjects/Characters/Char_MA.asset</x:v>
      </x:c>
      <x:c r="K11" s="47" t="str">
        <x:v>Assets/Resources/MA.png</x:v>
      </x:c>
      <x:c r="L11" s="47" t="str">
        <x:v>Existing</x:v>
      </x:c>
      <x:c r="M11" s="47" t="str">
        <x:v>MA_template_01</x:v>
      </x:c>
      <x:c r="N11" s="47" t="n">
        <x:v>5</x:v>
      </x:c>
      <x:c r="O11" s="47" t="str">
        <x:v>Existing</x:v>
      </x:c>
      <x:c r="P11" s="47" t="str">
        <x:v>Planned</x:v>
      </x:c>
      <x:c r="Q11" s="47" t="str">
        <x:v>Planned</x:v>
      </x:c>
      <x:c r="R11" s="47" t="str">
        <x:v>Partial</x:v>
      </x:c>
      <x:c r="S11" s="48" t="str">
        <x:v>Character/glyph/template exist; pronunciation audio is planned by this matrix.</x:v>
      </x:c>
    </x:row>
    <x:row r="12" ht="66" customHeight="1">
      <x:c r="A12" s="46" t="n">
        <x:v>5</x:v>
      </x:c>
      <x:c r="B12" s="62" t="str">
        <x:v>ᜈ</x:v>
      </x:c>
      <x:c r="C12" s="47" t="str">
        <x:v>NA</x:v>
      </x:c>
      <x:c r="D12" s="47" t="str">
        <x:v>NA</x:v>
      </x:c>
      <x:c r="E12" s="47" t="n">
        <x:v>1</x:v>
      </x:c>
      <x:c r="F12" s="47" t="str">
        <x:v>Ugat</x:v>
      </x:c>
      <x:c r="G12" s="47" t="n">
        <x:v>1</x:v>
      </x:c>
      <x:c r="H12" s="47" t="str">
        <x:v>INA</x:v>
      </x:c>
      <x:c r="I12" s="47" t="str">
        <x:v>INA (L1S1), INA (L4S1), MANA (L5S2), GANA (L8S1), UNA (L9S2), SANA (L10S1), PAMANA (L15S1)</x:v>
      </x:c>
      <x:c r="J12" s="47" t="str">
        <x:v>Assets/ScriptableObjects/Characters/Char_NA.asset</x:v>
      </x:c>
      <x:c r="K12" s="47" t="str">
        <x:v>Assets/Resources/NA.png</x:v>
      </x:c>
      <x:c r="L12" s="47" t="str">
        <x:v>Existing</x:v>
      </x:c>
      <x:c r="M12" s="47" t="str">
        <x:v>NA_template_01</x:v>
      </x:c>
      <x:c r="N12" s="47" t="n">
        <x:v>5</x:v>
      </x:c>
      <x:c r="O12" s="47" t="str">
        <x:v>Existing</x:v>
      </x:c>
      <x:c r="P12" s="47" t="str">
        <x:v>Planned</x:v>
      </x:c>
      <x:c r="Q12" s="47" t="str">
        <x:v>Planned</x:v>
      </x:c>
      <x:c r="R12" s="47" t="str">
        <x:v>Partial</x:v>
      </x:c>
      <x:c r="S12" s="48" t="str">
        <x:v>Character/glyph/template exist; pronunciation audio is planned by this matrix.</x:v>
      </x:c>
    </x:row>
    <x:row r="13" ht="66" customHeight="1">
      <x:c r="A13" s="46" t="n">
        <x:v>6</x:v>
      </x:c>
      <x:c r="B13" s="62" t="str">
        <x:v>ᜆ</x:v>
      </x:c>
      <x:c r="C13" s="47" t="str">
        <x:v>TA</x:v>
      </x:c>
      <x:c r="D13" s="47" t="str">
        <x:v>TA</x:v>
      </x:c>
      <x:c r="E13" s="47" t="n">
        <x:v>1</x:v>
      </x:c>
      <x:c r="F13" s="47" t="str">
        <x:v>Ugat</x:v>
      </x:c>
      <x:c r="G13" s="47" t="n">
        <x:v>2</x:v>
      </x:c>
      <x:c r="H13" s="47" t="str">
        <x:v>BATA</x:v>
      </x:c>
      <x:c r="I13" s="47" t="str">
        <x:v>BATA (L2S1), MATA (L2S2), BATA (L3S1), TAMA (L3S2)</x:v>
      </x:c>
      <x:c r="J13" s="47" t="str">
        <x:v>Assets/ScriptableObjects/Characters/Char_TA.asset</x:v>
      </x:c>
      <x:c r="K13" s="47" t="str">
        <x:v>Assets/Resources/TA.png</x:v>
      </x:c>
      <x:c r="L13" s="47" t="str">
        <x:v>Existing</x:v>
      </x:c>
      <x:c r="M13" s="47" t="str">
        <x:v>TA_template_01</x:v>
      </x:c>
      <x:c r="N13" s="47" t="n">
        <x:v>5</x:v>
      </x:c>
      <x:c r="O13" s="47" t="str">
        <x:v>Existing</x:v>
      </x:c>
      <x:c r="P13" s="47" t="str">
        <x:v>Planned</x:v>
      </x:c>
      <x:c r="Q13" s="47" t="str">
        <x:v>Planned</x:v>
      </x:c>
      <x:c r="R13" s="47" t="str">
        <x:v>Partial</x:v>
      </x:c>
      <x:c r="S13" s="48" t="str">
        <x:v>Character/glyph/template exist; pronunciation audio is planned by this matrix.</x:v>
      </x:c>
    </x:row>
    <x:row r="14" ht="66" customHeight="1">
      <x:c r="A14" s="46" t="n">
        <x:v>7</x:v>
      </x:c>
      <x:c r="B14" s="62" t="str">
        <x:v>ᜂ</x:v>
      </x:c>
      <x:c r="C14" s="47" t="str">
        <x:v>O/U</x:v>
      </x:c>
      <x:c r="D14" s="47" t="str">
        <x:v>O/U</x:v>
      </x:c>
      <x:c r="E14" s="47" t="n">
        <x:v>1</x:v>
      </x:c>
      <x:c r="F14" s="47" t="str">
        <x:v>Ugnayan</x:v>
      </x:c>
      <x:c r="G14" s="47" t="n">
        <x:v>9</x:v>
      </x:c>
      <x:c r="H14" s="47" t="str">
        <x:v>OO</x:v>
      </x:c>
      <x:c r="I14" s="47" t="str">
        <x:v>OO (L9S1), UNA (L9S2)</x:v>
      </x:c>
      <x:c r="J14" s="47" t="str">
        <x:v>Assets/ScriptableObjects/Characters/Char_OU.asset</x:v>
      </x:c>
      <x:c r="K14" s="47" t="str">
        <x:v>Assets/Resources/O-U.png</x:v>
      </x:c>
      <x:c r="L14" s="47" t="str">
        <x:v>Existing</x:v>
      </x:c>
      <x:c r="M14" s="47" t="str">
        <x:v>OU_template_01</x:v>
      </x:c>
      <x:c r="N14" s="47" t="n">
        <x:v>5</x:v>
      </x:c>
      <x:c r="O14" s="47" t="str">
        <x:v>Existing</x:v>
      </x:c>
      <x:c r="P14" s="47" t="str">
        <x:v>Assets/Audio/Pronunciation/O.wav</x:v>
      </x:c>
      <x:c r="Q14" s="47" t="str">
        <x:v>Partial</x:v>
      </x:c>
      <x:c r="R14" s="47" t="str">
        <x:v>Partial</x:v>
      </x:c>
      <x:c r="S14" s="48" t="str">
        <x:v>O.wav exists and is linked; contextual U pronunciation remains planned for review.</x:v>
      </x:c>
    </x:row>
    <x:row r="15" ht="66" customHeight="1">
      <x:c r="A15" s="46" t="n">
        <x:v>8</x:v>
      </x:c>
      <x:c r="B15" s="62" t="str">
        <x:v>ᜃ</x:v>
      </x:c>
      <x:c r="C15" s="47" t="str">
        <x:v>KA</x:v>
      </x:c>
      <x:c r="D15" s="47" t="str">
        <x:v>KA</x:v>
      </x:c>
      <x:c r="E15" s="47" t="n">
        <x:v>1</x:v>
      </x:c>
      <x:c r="F15" s="47" t="str">
        <x:v>Ugnayan</x:v>
      </x:c>
      <x:c r="G15" s="47" t="n">
        <x:v>7</x:v>
      </x:c>
      <x:c r="H15" s="47" t="str">
        <x:v>KASAMA</x:v>
      </x:c>
      <x:c r="I15" s="47" t="str">
        <x:v>KASAMA (L7S2), KAYA (L8S2)</x:v>
      </x:c>
      <x:c r="J15" s="47" t="str">
        <x:v>Assets/ScriptableObjects/Characters/Char_KA.asset</x:v>
      </x:c>
      <x:c r="K15" s="47" t="str">
        <x:v>Assets/Resources/KA.png</x:v>
      </x:c>
      <x:c r="L15" s="47" t="str">
        <x:v>Existing</x:v>
      </x:c>
      <x:c r="M15" s="47" t="str">
        <x:v>KA_template_01</x:v>
      </x:c>
      <x:c r="N15" s="47" t="n">
        <x:v>12</x:v>
      </x:c>
      <x:c r="O15" s="47" t="str">
        <x:v>Conflict</x:v>
      </x:c>
      <x:c r="P15" s="47" t="str">
        <x:v>Assets/Audio/Pronunciation/KA.wav</x:v>
      </x:c>
      <x:c r="Q15" s="47" t="str">
        <x:v>Existing</x:v>
      </x:c>
      <x:c r="R15" s="47" t="str">
        <x:v>Conflict</x:v>
      </x:c>
      <x:c r="S15" s="48" t="str">
        <x:v>Template family exists but exceeds the validator's stated 3–5 variant range.</x:v>
      </x:c>
    </x:row>
    <x:row r="16" ht="66" customHeight="1">
      <x:c r="A16" s="46" t="n">
        <x:v>9</x:v>
      </x:c>
      <x:c r="B16" s="62" t="str">
        <x:v>ᜄ</x:v>
      </x:c>
      <x:c r="C16" s="47" t="str">
        <x:v>GA</x:v>
      </x:c>
      <x:c r="D16" s="47" t="str">
        <x:v>GA</x:v>
      </x:c>
      <x:c r="E16" s="47" t="n">
        <x:v>1</x:v>
      </x:c>
      <x:c r="F16" s="47" t="str">
        <x:v>Ugnayan</x:v>
      </x:c>
      <x:c r="G16" s="47" t="n">
        <x:v>6</x:v>
      </x:c>
      <x:c r="H16" s="47" t="str">
        <x:v>GAWA</x:v>
      </x:c>
      <x:c r="I16" s="47" t="str">
        <x:v>GAWA (L6S2), GANA (L8S1), HALAGA (L12S2), MAHALAGA (L14S2)</x:v>
      </x:c>
      <x:c r="J16" s="47" t="str">
        <x:v>Assets/ScriptableObjects/Characters/Char_GA.asset</x:v>
      </x:c>
      <x:c r="K16" s="47" t="str">
        <x:v>Assets/Resources/GA.png</x:v>
      </x:c>
      <x:c r="L16" s="47" t="str">
        <x:v>Existing</x:v>
      </x:c>
      <x:c r="M16" s="47" t="str">
        <x:v>GA_template_01</x:v>
      </x:c>
      <x:c r="N16" s="47" t="n">
        <x:v>5</x:v>
      </x:c>
      <x:c r="O16" s="47" t="str">
        <x:v>Existing</x:v>
      </x:c>
      <x:c r="P16" s="47" t="str">
        <x:v>Planned</x:v>
      </x:c>
      <x:c r="Q16" s="47" t="str">
        <x:v>Planned</x:v>
      </x:c>
      <x:c r="R16" s="47" t="str">
        <x:v>Partial</x:v>
      </x:c>
      <x:c r="S16" s="48" t="str">
        <x:v>Character/glyph/template exist; pronunciation audio is planned by this matrix.</x:v>
      </x:c>
    </x:row>
    <x:row r="17" ht="66" customHeight="1">
      <x:c r="A17" s="46" t="n">
        <x:v>10</x:v>
      </x:c>
      <x:c r="B17" s="62" t="str">
        <x:v>ᜐ</x:v>
      </x:c>
      <x:c r="C17" s="47" t="str">
        <x:v>SA</x:v>
      </x:c>
      <x:c r="D17" s="47" t="str">
        <x:v>SA</x:v>
      </x:c>
      <x:c r="E17" s="47" t="n">
        <x:v>1</x:v>
      </x:c>
      <x:c r="F17" s="47" t="str">
        <x:v>Ugnayan</x:v>
      </x:c>
      <x:c r="G17" s="47" t="n">
        <x:v>7</x:v>
      </x:c>
      <x:c r="H17" s="47" t="str">
        <x:v>SAMA</x:v>
      </x:c>
      <x:c r="I17" s="47" t="str">
        <x:v>SAMA (L7S1), KASAMA (L7S2), SANA (L10S1), SAYA (L10S2), SANGA (L13S1)</x:v>
      </x:c>
      <x:c r="J17" s="47" t="str">
        <x:v>Assets/ScriptableObjects/Characters/Char_SA.asset</x:v>
      </x:c>
      <x:c r="K17" s="47" t="str">
        <x:v>Assets/Resources/SA-ZA.png</x:v>
      </x:c>
      <x:c r="L17" s="47" t="str">
        <x:v>Existing</x:v>
      </x:c>
      <x:c r="M17" s="47" t="str">
        <x:v>SA_template_01</x:v>
      </x:c>
      <x:c r="N17" s="47" t="n">
        <x:v>12</x:v>
      </x:c>
      <x:c r="O17" s="47" t="str">
        <x:v>Conflict</x:v>
      </x:c>
      <x:c r="P17" s="47" t="str">
        <x:v>Assets/Audio/Pronunciation/SA.wav</x:v>
      </x:c>
      <x:c r="Q17" s="47" t="str">
        <x:v>Existing</x:v>
      </x:c>
      <x:c r="R17" s="47" t="str">
        <x:v>Conflict</x:v>
      </x:c>
      <x:c r="S17" s="48" t="str">
        <x:v>Template family exists but exceeds the validator's stated 3–5 variant range.</x:v>
      </x:c>
    </x:row>
    <x:row r="18" ht="66" customHeight="1">
      <x:c r="A18" s="46" t="n">
        <x:v>11</x:v>
      </x:c>
      <x:c r="B18" s="62" t="str">
        <x:v>ᜏ</x:v>
      </x:c>
      <x:c r="C18" s="47" t="str">
        <x:v>WA</x:v>
      </x:c>
      <x:c r="D18" s="47" t="str">
        <x:v>WA</x:v>
      </x:c>
      <x:c r="E18" s="47" t="n">
        <x:v>1</x:v>
      </x:c>
      <x:c r="F18" s="47" t="str">
        <x:v>Ugnayan</x:v>
      </x:c>
      <x:c r="G18" s="47" t="n">
        <x:v>6</x:v>
      </x:c>
      <x:c r="H18" s="47" t="str">
        <x:v>AWA</x:v>
      </x:c>
      <x:c r="I18" s="47" t="str">
        <x:v>AWA (L6S1), GAWA (L6S2)</x:v>
      </x:c>
      <x:c r="J18" s="47" t="str">
        <x:v>Assets/ScriptableObjects/Characters/Char_WA.asset</x:v>
      </x:c>
      <x:c r="K18" s="47" t="str">
        <x:v>Assets/Resources/WA.png</x:v>
      </x:c>
      <x:c r="L18" s="47" t="str">
        <x:v>Existing</x:v>
      </x:c>
      <x:c r="M18" s="47" t="str">
        <x:v>WA_template_01</x:v>
      </x:c>
      <x:c r="N18" s="47" t="n">
        <x:v>5</x:v>
      </x:c>
      <x:c r="O18" s="47" t="str">
        <x:v>Existing</x:v>
      </x:c>
      <x:c r="P18" s="47" t="str">
        <x:v>Assets/Audio/Pronunciation/WA.wav</x:v>
      </x:c>
      <x:c r="Q18" s="47" t="str">
        <x:v>Existing</x:v>
      </x:c>
      <x:c r="R18" s="47" t="str">
        <x:v>Existing</x:v>
      </x:c>
      <x:c r="S18" s="48" t="str">
        <x:v>Repository evidence reconciled by GUID/path.</x:v>
      </x:c>
    </x:row>
    <x:row r="19" ht="66" customHeight="1">
      <x:c r="A19" s="46" t="n">
        <x:v>12</x:v>
      </x:c>
      <x:c r="B19" s="62" t="str">
        <x:v>ᜌ</x:v>
      </x:c>
      <x:c r="C19" s="47" t="str">
        <x:v>YA</x:v>
      </x:c>
      <x:c r="D19" s="47" t="str">
        <x:v>YA</x:v>
      </x:c>
      <x:c r="E19" s="47" t="n">
        <x:v>1</x:v>
      </x:c>
      <x:c r="F19" s="47" t="str">
        <x:v>Ugnayan</x:v>
      </x:c>
      <x:c r="G19" s="47" t="n">
        <x:v>8</x:v>
      </x:c>
      <x:c r="H19" s="47" t="str">
        <x:v>KAYA</x:v>
      </x:c>
      <x:c r="I19" s="47" t="str">
        <x:v>KAYA (L8S2), SAYA (L10S2), HARAYA (L13S2), MALAYA (L15S2)</x:v>
      </x:c>
      <x:c r="J19" s="47" t="str">
        <x:v>Assets/ScriptableObjects/Characters/Char_YA.asset</x:v>
      </x:c>
      <x:c r="K19" s="47" t="str">
        <x:v>Assets/Resources/YA.png</x:v>
      </x:c>
      <x:c r="L19" s="47" t="str">
        <x:v>Existing</x:v>
      </x:c>
      <x:c r="M19" s="47" t="str">
        <x:v>YA_template_01</x:v>
      </x:c>
      <x:c r="N19" s="47" t="n">
        <x:v>5</x:v>
      </x:c>
      <x:c r="O19" s="47" t="str">
        <x:v>Existing</x:v>
      </x:c>
      <x:c r="P19" s="47" t="str">
        <x:v>Planned</x:v>
      </x:c>
      <x:c r="Q19" s="47" t="str">
        <x:v>Planned</x:v>
      </x:c>
      <x:c r="R19" s="47" t="str">
        <x:v>Partial</x:v>
      </x:c>
      <x:c r="S19" s="48" t="str">
        <x:v>Character/glyph/template exist; pronunciation audio is planned by this matrix.</x:v>
      </x:c>
    </x:row>
    <x:row r="20" ht="66" customHeight="1">
      <x:c r="A20" s="46" t="n">
        <x:v>13</x:v>
      </x:c>
      <x:c r="B20" s="62" t="str">
        <x:v>ᜇ</x:v>
      </x:c>
      <x:c r="C20" s="47" t="str">
        <x:v>DA/RA</x:v>
      </x:c>
      <x:c r="D20" s="47" t="str">
        <x:v>DA; RA</x:v>
      </x:c>
      <x:c r="E20" s="47" t="n">
        <x:v>2</x:v>
      </x:c>
      <x:c r="F20" s="47" t="str">
        <x:v>Pamana</x:v>
      </x:c>
      <x:c r="G20" s="47" t="n">
        <x:v>11</x:v>
      </x:c>
      <x:c r="H20" s="47" t="str">
        <x:v>DALA</x:v>
      </x:c>
      <x:c r="I20" s="47" t="str">
        <x:v>DALA (L11S1), DAMA (L11S2), HARAYA (L13S2)</x:v>
      </x:c>
      <x:c r="J20" s="47" t="str">
        <x:v>Assets/ScriptableObjects/Characters/Char_DA.asset; Assets/ScriptableObjects/Characters/Char_RA.asset</x:v>
      </x:c>
      <x:c r="K20" s="47" t="str">
        <x:v>Assets/Resources/DA.png; Assets/Resources/RA.png</x:v>
      </x:c>
      <x:c r="L20" s="47" t="str">
        <x:v>Conflict</x:v>
      </x:c>
      <x:c r="M20" s="47" t="str">
        <x:v>DA_template_01; RA_template_01</x:v>
      </x:c>
      <x:c r="N20" s="47" t="n">
        <x:v>17</x:v>
      </x:c>
      <x:c r="O20" s="47" t="str">
        <x:v>Conflict</x:v>
      </x:c>
      <x:c r="P20" s="47" t="str">
        <x:v>Assets/Audio/Pronunciation/DA.wav</x:v>
      </x:c>
      <x:c r="Q20" s="47" t="str">
        <x:v>Partial</x:v>
      </x:c>
      <x:c r="R20" s="47" t="str">
        <x:v>Conflict</x:v>
      </x:c>
      <x:c r="S20" s="48" t="str">
        <x:v>Workbook requires one visual identity; repository has separate DA and RA assets/templates, different display PNG bytes, and DA-only audio.</x:v>
      </x:c>
    </x:row>
    <x:row r="21" ht="66" customHeight="1">
      <x:c r="A21" s="46" t="n">
        <x:v>14</x:v>
      </x:c>
      <x:c r="B21" s="62" t="str">
        <x:v>ᜑ</x:v>
      </x:c>
      <x:c r="C21" s="47" t="str">
        <x:v>HA</x:v>
      </x:c>
      <x:c r="D21" s="47" t="str">
        <x:v>HA</x:v>
      </x:c>
      <x:c r="E21" s="47" t="n">
        <x:v>1</x:v>
      </x:c>
      <x:c r="F21" s="47" t="str">
        <x:v>Pamana</x:v>
      </x:c>
      <x:c r="G21" s="47" t="n">
        <x:v>12</x:v>
      </x:c>
      <x:c r="H21" s="47" t="str">
        <x:v>HANGA</x:v>
      </x:c>
      <x:c r="I21" s="47" t="str">
        <x:v>HANGA (L12S1), HALAGA (L12S2), HARAYA (L13S2), MAHALAGA (L14S2)</x:v>
      </x:c>
      <x:c r="J21" s="47" t="str">
        <x:v>Assets/ScriptableObjects/Characters/Char_HA.asset</x:v>
      </x:c>
      <x:c r="K21" s="47" t="str">
        <x:v>Assets/Resources/HA.png</x:v>
      </x:c>
      <x:c r="L21" s="47" t="str">
        <x:v>Existing</x:v>
      </x:c>
      <x:c r="M21" s="47" t="str">
        <x:v>HA_template_01</x:v>
      </x:c>
      <x:c r="N21" s="47" t="n">
        <x:v>15</x:v>
      </x:c>
      <x:c r="O21" s="47" t="str">
        <x:v>Conflict</x:v>
      </x:c>
      <x:c r="P21" s="47" t="str">
        <x:v>Assets/Audio/Pronunciation/HA.wav</x:v>
      </x:c>
      <x:c r="Q21" s="47" t="str">
        <x:v>Existing</x:v>
      </x:c>
      <x:c r="R21" s="47" t="str">
        <x:v>Conflict</x:v>
      </x:c>
      <x:c r="S21" s="48" t="str">
        <x:v>Template family exists but exceeds the validator's stated 3–5 variant range.</x:v>
      </x:c>
    </x:row>
    <x:row r="22" ht="66" customHeight="1">
      <x:c r="A22" s="46" t="n">
        <x:v>15</x:v>
      </x:c>
      <x:c r="B22" s="62" t="str">
        <x:v>ᜎ</x:v>
      </x:c>
      <x:c r="C22" s="47" t="str">
        <x:v>LA</x:v>
      </x:c>
      <x:c r="D22" s="47" t="str">
        <x:v>LA</x:v>
      </x:c>
      <x:c r="E22" s="47" t="n">
        <x:v>1</x:v>
      </x:c>
      <x:c r="F22" s="47" t="str">
        <x:v>Pamana</x:v>
      </x:c>
      <x:c r="G22" s="47" t="n">
        <x:v>11</x:v>
      </x:c>
      <x:c r="H22" s="47" t="str">
        <x:v>DALA</x:v>
      </x:c>
      <x:c r="I22" s="47" t="str">
        <x:v>DALA (L11S1), HALAGA (L12S2), ALAALA (L14S1), MAHALAGA (L14S2), MALAYA (L15S2)</x:v>
      </x:c>
      <x:c r="J22" s="47" t="str">
        <x:v>Assets/ScriptableObjects/Characters/Char_LA.asset</x:v>
      </x:c>
      <x:c r="K22" s="47" t="str">
        <x:v>Assets/Resources/LA.png</x:v>
      </x:c>
      <x:c r="L22" s="47" t="str">
        <x:v>Existing</x:v>
      </x:c>
      <x:c r="M22" s="47" t="str">
        <x:v>LA_template_01</x:v>
      </x:c>
      <x:c r="N22" s="47" t="n">
        <x:v>5</x:v>
      </x:c>
      <x:c r="O22" s="47" t="str">
        <x:v>Existing</x:v>
      </x:c>
      <x:c r="P22" s="47" t="str">
        <x:v>Planned</x:v>
      </x:c>
      <x:c r="Q22" s="47" t="str">
        <x:v>Planned</x:v>
      </x:c>
      <x:c r="R22" s="47" t="str">
        <x:v>Partial</x:v>
      </x:c>
      <x:c r="S22" s="48" t="str">
        <x:v>Character/glyph/template exist; pronunciation audio is planned by this matrix.</x:v>
      </x:c>
    </x:row>
    <x:row r="23" ht="66" customHeight="1">
      <x:c r="A23" s="46" t="n">
        <x:v>16</x:v>
      </x:c>
      <x:c r="B23" s="62" t="str">
        <x:v>ᜅ</x:v>
      </x:c>
      <x:c r="C23" s="47" t="str">
        <x:v>NGA</x:v>
      </x:c>
      <x:c r="D23" s="47" t="str">
        <x:v>NGA</x:v>
      </x:c>
      <x:c r="E23" s="47" t="n">
        <x:v>1</x:v>
      </x:c>
      <x:c r="F23" s="47" t="str">
        <x:v>Pamana</x:v>
      </x:c>
      <x:c r="G23" s="47" t="n">
        <x:v>12</x:v>
      </x:c>
      <x:c r="H23" s="47" t="str">
        <x:v>HANGA</x:v>
      </x:c>
      <x:c r="I23" s="47" t="str">
        <x:v>HANGA (L12S1), SANGA (L13S1)</x:v>
      </x:c>
      <x:c r="J23" s="47" t="str">
        <x:v>Assets/ScriptableObjects/Characters/Char_NGA.asset</x:v>
      </x:c>
      <x:c r="K23" s="47" t="str">
        <x:v>Assets/Resources/NGA.png</x:v>
      </x:c>
      <x:c r="L23" s="47" t="str">
        <x:v>Existing</x:v>
      </x:c>
      <x:c r="M23" s="47" t="str">
        <x:v>NGA_template_01</x:v>
      </x:c>
      <x:c r="N23" s="47" t="n">
        <x:v>5</x:v>
      </x:c>
      <x:c r="O23" s="47" t="str">
        <x:v>Existing</x:v>
      </x:c>
      <x:c r="P23" s="47" t="str">
        <x:v>Planned</x:v>
      </x:c>
      <x:c r="Q23" s="47" t="str">
        <x:v>Planned</x:v>
      </x:c>
      <x:c r="R23" s="47" t="str">
        <x:v>Partial</x:v>
      </x:c>
      <x:c r="S23" s="48" t="str">
        <x:v>Character/glyph/template exist; pronunciation audio is planned by this matrix.</x:v>
      </x:c>
    </x:row>
    <x:row r="24" ht="66" customHeight="1">
      <x:c r="A24" s="49" t="n">
        <x:v>17</x:v>
      </x:c>
      <x:c r="B24" s="63" t="str">
        <x:v>ᜉ</x:v>
      </x:c>
      <x:c r="C24" s="50" t="str">
        <x:v>PA</x:v>
      </x:c>
      <x:c r="D24" s="50" t="str">
        <x:v>PA</x:v>
      </x:c>
      <x:c r="E24" s="50" t="n">
        <x:v>1</x:v>
      </x:c>
      <x:c r="F24" s="50" t="str">
        <x:v>Pamana</x:v>
      </x:c>
      <x:c r="G24" s="50" t="n">
        <x:v>15</x:v>
      </x:c>
      <x:c r="H24" s="50" t="str">
        <x:v>PAMANA</x:v>
      </x:c>
      <x:c r="I24" s="50" t="str">
        <x:v>PAMANA (L15S1)</x:v>
      </x:c>
      <x:c r="J24" s="50" t="str">
        <x:v>Assets/ScriptableObjects/Characters/Char_PA.asset</x:v>
      </x:c>
      <x:c r="K24" s="50" t="str">
        <x:v>Assets/Resources/PA-FA.png</x:v>
      </x:c>
      <x:c r="L24" s="50" t="str">
        <x:v>Existing</x:v>
      </x:c>
      <x:c r="M24" s="50" t="str">
        <x:v>PA_template_01</x:v>
      </x:c>
      <x:c r="N24" s="50" t="n">
        <x:v>5</x:v>
      </x:c>
      <x:c r="O24" s="50" t="str">
        <x:v>Existing</x:v>
      </x:c>
      <x:c r="P24" s="50" t="str">
        <x:v>Planned</x:v>
      </x:c>
      <x:c r="Q24" s="50" t="str">
        <x:v>Planned</x:v>
      </x:c>
      <x:c r="R24" s="50" t="str">
        <x:v>Partial</x:v>
      </x:c>
      <x:c r="S24" s="51" t="str">
        <x:v>Character/glyph/template exist; pronunciation audio is planned by this matrix.</x:v>
      </x:c>
    </x:row>
  </x:sheetData>
  <x:mergeCells>
    <x:mergeCell ref="A1:S1"/>
    <x:mergeCell ref="A6:S6"/>
  </x:mergeCells>
  <x:conditionalFormatting sqref="L8:R24">
    <x:cfRule type="containsText" dxfId="0" priority="1" operator="containsText" text="Existing"/>
    <x:cfRule type="containsText" dxfId="1" priority="2" operator="containsText" text="PASS"/>
    <x:cfRule type="containsText" dxfId="2" priority="3" operator="containsText" text="Planned"/>
    <x:cfRule type="containsText" dxfId="3" priority="4" operator="containsText" text="Partial"/>
    <x:cfRule type="containsText" dxfId="4" priority="5" operator="containsText" text="Conflict"/>
    <x:cfRule type="containsText" dxfId="5" priority="6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89ae0fa2c084468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8.890000343322754" hidden="0" customWidth="1"/>
    <x:col min="3" max="3" width="7.21999979019165" hidden="0" customWidth="1"/>
    <x:col min="4" max="4" width="5" hidden="0" customWidth="1"/>
    <x:col min="5" max="5" width="10" hidden="0" customWidth="1"/>
    <x:col min="6" max="6" width="20" hidden="0" customWidth="1"/>
    <x:col min="7" max="7" width="21.110000610351562" hidden="0" customWidth="1"/>
    <x:col min="8" max="8" width="9.4399995803833" hidden="0" customWidth="1"/>
    <x:col min="9" max="9" width="10.5600004196167" hidden="0" customWidth="1"/>
    <x:col min="10" max="10" width="10" hidden="0" customWidth="1"/>
    <x:col min="11" max="11" width="9.4399995803833" hidden="0" customWidth="1"/>
    <x:col min="12" max="12" width="35.560001373291016" hidden="0" customWidth="1"/>
    <x:col min="13" max="13" width="9.109999656677246" hidden="0" customWidth="1"/>
    <x:col min="14" max="14" width="11.670000076293945" hidden="0" customWidth="1"/>
    <x:col min="15" max="15" width="8.890000343322754" hidden="0" customWidth="1"/>
    <x:col min="16" max="16" width="15.5600004196167" hidden="0" customWidth="1"/>
    <x:col min="17" max="17" width="9.109999656677246" hidden="0" customWidth="1"/>
    <x:col min="18" max="18" width="13.329999923706055" hidden="0" customWidth="1"/>
    <x:col min="19" max="19" width="18.889999389648438" hidden="0" customWidth="1"/>
    <x:col min="20" max="20" width="10.220000267028809" hidden="0" customWidth="1"/>
    <x:col min="21" max="21" width="12.220000267028809" hidden="0" customWidth="1"/>
    <x:col min="22" max="22" width="9.779999732971191" hidden="0" customWidth="1"/>
  </x:cols>
  <x:sheetData>
    <x:row r="1" ht="34" customHeight="1">
      <x:c r="A1" s="4" t="str">
        <x:v>TW-SPK-004 — Verified 30 Focus-Word Slots</x:v>
      </x:c>
      <x:c r="B1" s="4" t="str">
        <x:v>TW-SPK-004 — Verified 30 Focus-Word Slots</x:v>
      </x:c>
      <x:c r="C1" s="4" t="str">
        <x:v>TW-SPK-004 — Verified 30 Focus-Word Slots</x:v>
      </x:c>
      <x:c r="D1" s="4" t="str">
        <x:v>TW-SPK-004 — Verified 30 Focus-Word Slots</x:v>
      </x:c>
      <x:c r="E1" s="4" t="str">
        <x:v>TW-SPK-004 — Verified 30 Focus-Word Slots</x:v>
      </x:c>
      <x:c r="F1" s="4" t="str">
        <x:v>TW-SPK-004 — Verified 30 Focus-Word Slots</x:v>
      </x:c>
      <x:c r="G1" s="4" t="str">
        <x:v>TW-SPK-004 — Verified 30 Focus-Word Slots</x:v>
      </x:c>
      <x:c r="H1" s="4" t="str">
        <x:v>TW-SPK-004 — Verified 30 Focus-Word Slots</x:v>
      </x:c>
      <x:c r="I1" s="4" t="str">
        <x:v>TW-SPK-004 — Verified 30 Focus-Word Slots</x:v>
      </x:c>
      <x:c r="J1" s="4" t="str">
        <x:v>TW-SPK-004 — Verified 30 Focus-Word Slots</x:v>
      </x:c>
      <x:c r="K1" s="4" t="str">
        <x:v>TW-SPK-004 — Verified 30 Focus-Word Slots</x:v>
      </x:c>
      <x:c r="L1" s="4" t="str">
        <x:v>TW-SPK-004 — Verified 30 Focus-Word Slots</x:v>
      </x:c>
      <x:c r="M1" s="4" t="str">
        <x:v>TW-SPK-004 — Verified 30 Focus-Word Slots</x:v>
      </x:c>
      <x:c r="N1" s="4" t="str">
        <x:v>TW-SPK-004 — Verified 30 Focus-Word Slots</x:v>
      </x:c>
      <x:c r="O1" s="4" t="str">
        <x:v>TW-SPK-004 — Verified 30 Focus-Word Slots</x:v>
      </x:c>
      <x:c r="P1" s="4" t="str">
        <x:v>TW-SPK-004 — Verified 30 Focus-Word Slots</x:v>
      </x:c>
      <x:c r="Q1" s="4" t="str">
        <x:v>TW-SPK-004 — Verified 30 Focus-Word Slots</x:v>
      </x:c>
      <x:c r="R1" s="4" t="str">
        <x:v>TW-SPK-004 — Verified 30 Focus-Word Slots</x:v>
      </x:c>
      <x:c r="S1" s="4" t="str">
        <x:v>TW-SPK-004 — Verified 30 Focus-Word Slots</x:v>
      </x:c>
      <x:c r="T1" s="4" t="str">
        <x:v>TW-SPK-004 — Verified 30 Focus-Word Slots</x:v>
      </x:c>
      <x:c r="U1" s="4" t="str">
        <x:v>TW-SPK-004 — Verified 30 Focus-Word Slots</x:v>
      </x:c>
      <x:c r="V1" s="4" t="str">
        <x:v>TW-SPK-004 — Verified 30 Focus-Word Slots</x:v>
      </x:c>
    </x:row>
    <x:row r="3">
      <x:c r="A3" s="65" t="str">
        <x:v>QC</x:v>
      </x:c>
      <x:c r="B3" s="65" t="str">
        <x:v>Rows</x:v>
      </x:c>
      <x:c r="C3" s="65" t="str">
        <x:v>Validated rows</x:v>
      </x:c>
      <x:c r="D3" s="65" t="str">
        <x:v>Intentional repeats</x:v>
      </x:c>
      <x:c r="E3" s="65" t="str">
        <x:v>Kudlit rows</x:v>
      </x:c>
      <x:c r="F3" s="65" t="str">
        <x:v>Unsupported modified consonants</x:v>
      </x:c>
      <x:c r="G3" s="65" t="str">
        <x:v>Last-syllable failures</x:v>
      </x:c>
      <x:c r="H3" s="65" t="str">
        <x:v>Pool failures</x:v>
      </x:c>
      <x:c r="I3"/>
      <x:c r="J3"/>
      <x:c r="K3"/>
      <x:c r="L3"/>
    </x:row>
    <x:row r="4">
      <x:c r="A4" s="10" t="str">
        <x:v>Result</x:v>
      </x:c>
      <x:c r="B4" s="10" t="n">
        <x:f>COUNTA(E8:E37)</x:f>
        <x:v>30</x:v>
      </x:c>
      <x:c r="C4" s="10" t="n">
        <x:f>COUNTIF(V8:V37,"PASS")</x:f>
        <x:v>30</x:v>
      </x:c>
      <x:c r="D4" s="10" t="n">
        <x:f>COUNTIF(N8:N37,"Intentional repeat")</x:f>
        <x:v>3</x:v>
      </x:c>
      <x:c r="E4" s="10" t="n">
        <x:f>COUNTIF(Q8:Q37,"Yes")</x:f>
        <x:v>0</x:v>
      </x:c>
      <x:c r="F4" s="10" t="n">
        <x:f>COUNTIF(R8:R37,"Yes")</x:f>
        <x:v>0</x:v>
      </x:c>
      <x:c r="G4" s="10" t="n">
        <x:f>COUNTIF(K8:K37,"FAIL")</x:f>
        <x:v>0</x:v>
      </x:c>
      <x:c r="H4" s="10" t="n">
        <x:f>COUNTIF(M8:M37,"FAIL")</x:f>
        <x:v>0</x:v>
      </x:c>
      <x:c r="I4"/>
      <x:c r="J4"/>
      <x:c r="K4"/>
      <x:c r="L4"/>
    </x:row>
    <x:row r="6">
      <x:c r="A6" s="13" t="str">
        <x:v>Each level has exactly two focus slots. Level 5/10/15 use the two new final words from their paragraph lists; prior words remain evidence but are not duplicated as extra slots.</x:v>
      </x:c>
      <x:c r="B6" s="13" t="str">
        <x:v>Each level has exactly two focus slots. Level 5/10/15 use the two new final words from their paragraph lists; prior words remain evidence but are not duplicated as extra slots.</x:v>
      </x:c>
      <x:c r="C6" s="13" t="str">
        <x:v>Each level has exactly two focus slots. Level 5/10/15 use the two new final words from their paragraph lists; prior words remain evidence but are not duplicated as extra slots.</x:v>
      </x:c>
      <x:c r="D6" s="13" t="str">
        <x:v>Each level has exactly two focus slots. Level 5/10/15 use the two new final words from their paragraph lists; prior words remain evidence but are not duplicated as extra slots.</x:v>
      </x:c>
      <x:c r="E6" s="13" t="str">
        <x:v>Each level has exactly two focus slots. Level 5/10/15 use the two new final words from their paragraph lists; prior words remain evidence but are not duplicated as extra slots.</x:v>
      </x:c>
      <x:c r="F6" s="13" t="str">
        <x:v>Each level has exactly two focus slots. Level 5/10/15 use the two new final words from their paragraph lists; prior words remain evidence but are not duplicated as extra slots.</x:v>
      </x:c>
      <x:c r="G6" s="13" t="str">
        <x:v>Each level has exactly two focus slots. Level 5/10/15 use the two new final words from their paragraph lists; prior words remain evidence but are not duplicated as extra slots.</x:v>
      </x:c>
      <x:c r="H6" s="13" t="str">
        <x:v>Each level has exactly two focus slots. Level 5/10/15 use the two new final words from their paragraph lists; prior words remain evidence but are not duplicated as extra slots.</x:v>
      </x:c>
      <x:c r="I6" s="13" t="str">
        <x:v>Each level has exactly two focus slots. Level 5/10/15 use the two new final words from their paragraph lists; prior words remain evidence but are not duplicated as extra slots.</x:v>
      </x:c>
      <x:c r="J6" s="13" t="str">
        <x:v>Each level has exactly two focus slots. Level 5/10/15 use the two new final words from their paragraph lists; prior words remain evidence but are not duplicated as extra slots.</x:v>
      </x:c>
      <x:c r="K6" s="13" t="str">
        <x:v>Each level has exactly two focus slots. Level 5/10/15 use the two new final words from their paragraph lists; prior words remain evidence but are not duplicated as extra slots.</x:v>
      </x:c>
      <x:c r="L6" s="13" t="str">
        <x:v>Each level has exactly two focus slots. Level 5/10/15 use the two new final words from their paragraph lists; prior words remain evidence but are not duplicated as extra slots.</x:v>
      </x:c>
      <x:c r="M6" s="13" t="str">
        <x:v>Each level has exactly two focus slots. Level 5/10/15 use the two new final words from their paragraph lists; prior words remain evidence but are not duplicated as extra slots.</x:v>
      </x:c>
      <x:c r="N6" s="13" t="str">
        <x:v>Each level has exactly two focus slots. Level 5/10/15 use the two new final words from their paragraph lists; prior words remain evidence but are not duplicated as extra slots.</x:v>
      </x:c>
      <x:c r="O6" s="13" t="str">
        <x:v>Each level has exactly two focus slots. Level 5/10/15 use the two new final words from their paragraph lists; prior words remain evidence but are not duplicated as extra slots.</x:v>
      </x:c>
      <x:c r="P6" s="13" t="str">
        <x:v>Each level has exactly two focus slots. Level 5/10/15 use the two new final words from their paragraph lists; prior words remain evidence but are not duplicated as extra slots.</x:v>
      </x:c>
      <x:c r="Q6" s="13" t="str">
        <x:v>Each level has exactly two focus slots. Level 5/10/15 use the two new final words from their paragraph lists; prior words remain evidence but are not duplicated as extra slots.</x:v>
      </x:c>
      <x:c r="R6" s="13" t="str">
        <x:v>Each level has exactly two focus slots. Level 5/10/15 use the two new final words from their paragraph lists; prior words remain evidence but are not duplicated as extra slots.</x:v>
      </x:c>
      <x:c r="S6" s="13" t="str">
        <x:v>Each level has exactly two focus slots. Level 5/10/15 use the two new final words from their paragraph lists; prior words remain evidence but are not duplicated as extra slots.</x:v>
      </x:c>
      <x:c r="T6" s="13" t="str">
        <x:v>Each level has exactly two focus slots. Level 5/10/15 use the two new final words from their paragraph lists; prior words remain evidence but are not duplicated as extra slots.</x:v>
      </x:c>
      <x:c r="U6" s="13" t="str">
        <x:v>Each level has exactly two focus slots. Level 5/10/15 use the two new final words from their paragraph lists; prior words remain evidence but are not duplicated as extra slots.</x:v>
      </x:c>
      <x:c r="V6" s="13" t="str">
        <x:v>Each level has exactly two focus slots. Level 5/10/15 use the two new final words from their paragraph lists; prior words remain evidence but are not duplicated as extra slots.</x:v>
      </x:c>
    </x:row>
    <x:row r="7" ht="36" customHeight="1">
      <x:c r="A7" s="22" t="str">
        <x:v>Global Level</x:v>
      </x:c>
      <x:c r="B7" s="23" t="str">
        <x:v>Era</x:v>
      </x:c>
      <x:c r="C7" s="23" t="str">
        <x:v>Era Level</x:v>
      </x:c>
      <x:c r="D7" s="23" t="str">
        <x:v>Slot</x:v>
      </x:c>
      <x:c r="E7" s="23" t="str">
        <x:v>Latin Word</x:v>
      </x:c>
      <x:c r="F7" s="23" t="str">
        <x:v>Spoken Syllable Occurrences</x:v>
      </x:c>
      <x:c r="G7" s="23" t="str">
        <x:v>Canonical Visual Sequence</x:v>
      </x:c>
      <x:c r="H7" s="23" t="str">
        <x:v>Word Final Syllable</x:v>
      </x:c>
      <x:c r="I7" s="23" t="str">
        <x:v>Final Canonical Symbol</x:v>
      </x:c>
      <x:c r="J7" s="23" t="str">
        <x:v>Source Last Required</x:v>
      </x:c>
      <x:c r="K7" s="23" t="str">
        <x:v>Last-Required Check</x:v>
      </x:c>
      <x:c r="L7" s="23" t="str">
        <x:v>Cumulative Symbol Pool</x:v>
      </x:c>
      <x:c r="M7" s="23" t="str">
        <x:v>Pool Coverage</x:v>
      </x:c>
      <x:c r="N7" s="23" t="str">
        <x:v>Repeat Type</x:v>
      </x:c>
      <x:c r="O7" s="23" t="str">
        <x:v>Repeat Of</x:v>
      </x:c>
      <x:c r="P7" s="23" t="str">
        <x:v>Repeated Syllables</x:v>
      </x:c>
      <x:c r="Q7" s="23" t="str">
        <x:v>Kudlit Required</x:v>
      </x:c>
      <x:c r="R7" s="23" t="str">
        <x:v>Unsupported Modified Consonant</x:v>
      </x:c>
      <x:c r="S7" s="23" t="str">
        <x:v>Workbook Evidence</x:v>
      </x:c>
      <x:c r="T7" s="23" t="str">
        <x:v>Decomposition Check</x:v>
      </x:c>
      <x:c r="U7" s="23" t="str">
        <x:v>Character/Audio Mapping</x:v>
      </x:c>
      <x:c r="V7" s="24" t="str">
        <x:v>Validation Status</x:v>
      </x:c>
    </x:row>
    <x:row r="8" ht="52" customHeight="1">
      <x:c r="A8" s="43" t="n">
        <x:v>1</x:v>
      </x:c>
      <x:c r="B8" s="44" t="str">
        <x:v>Ugat</x:v>
      </x:c>
      <x:c r="C8" s="44" t="n">
        <x:v>1</x:v>
      </x:c>
      <x:c r="D8" s="44" t="n">
        <x:v>1</x:v>
      </x:c>
      <x:c r="E8" s="44" t="str">
        <x:v>INA</x:v>
      </x:c>
      <x:c r="F8" s="44" t="str">
        <x:v>I + NA</x:v>
      </x:c>
      <x:c r="G8" s="44" t="str">
        <x:v>E/I + NA</x:v>
      </x:c>
      <x:c r="H8" s="44" t="str">
        <x:v>NA</x:v>
      </x:c>
      <x:c r="I8" s="44" t="str">
        <x:v>NA</x:v>
      </x:c>
      <x:c r="J8" s="44" t="str"/>
      <x:c r="K8" s="44" t="str">
        <x:f>IF(D8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8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8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8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8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N/A</x:v>
      </x:c>
      <x:c r="L8" s="44" t="str">
        <x:v>A, E/I, MA, NA</x:v>
      </x:c>
      <x:c r="M8" s="44" t="str">
        <x:f>IF(AND(LEN(L8)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8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8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8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"&amp;SUBSTITUTE(SUBSTITUTE(G8,", ",", ")," + ",", ")&amp;", "))),ISNUMBER(SEARCH(", A,",", "&amp;SUBSTITUTE(SUBSTITUTE(L8,", ",", ")," + ",", ")&amp;", "))),OR(NOT(ISNUMBER(SEARCH(", E/I,",", "&amp;SUBSTITUTE(SUBSTITUTE(G8,", ",", ")," + ",", ")&amp;", "))),ISNUMBER(SEARCH(", E/I,",", "&amp;SUBSTITUTE(SUBSTITUTE(L8,", ",", ")," + ",", ")&amp;", "))),OR(NOT(ISNUMBER(SEARCH(", BA,",", "&amp;SUBSTITUTE(SUBSTITUTE(G8,", ",", ")," + ",", ")&amp;", "))),ISNUMBER(SEARCH(", BA,",", "&amp;SUBSTITUTE(SUBSTITUTE(L8,", ",", ")," + ",", ")&amp;", "))),OR(NOT(ISNUMBER(SEARCH(", MA,",", "&amp;SUBSTITUTE(SUBSTITUTE(G8,", ",", ")," + ",", ")&amp;", "))),ISNUMBER(SEARCH(", MA,",", "&amp;SUBSTITUTE(SUBSTITUTE(L8,", ",", ")," + ",", ")&amp;", "))),OR(NOT(ISNUMBER(SEARCH(", NA,",", "&amp;SUBSTITUTE(SUBSTITUTE(G8,", ",", ")," + ",", ")&amp;", "))),ISNUMBER(SEARCH(", NA,",", "&amp;SUBSTITUTE(SUBSTITUTE(L8,", ",", ")," + ",", ")&amp;", "))),OR(NOT(ISNUMBER(SEARCH(", TA,",", "&amp;SUBSTITUTE(SUBSTITUTE(G8,", ",", ")," + ",", ")&amp;", "))),ISNUMBER(SEARCH(", TA,",", "&amp;SUBSTITUTE(SUBSTITUTE(L8,", ",", ")," + ",", ")&amp;", "))),OR(NOT(ISNUMBER(SEARCH(", O/U,",", "&amp;SUBSTITUTE(SUBSTITUTE(G8,", ",", ")," + ",", ")&amp;", "))),ISNUMBER(SEARCH(", O/U,",", "&amp;SUBSTITUTE(SUBSTITUTE(L8,", ",", ")," + ",", ")&amp;", "))),OR(NOT(ISNUMBER(SEARCH(", KA,",", "&amp;SUBSTITUTE(SUBSTITUTE(G8,", ",", ")," + ",", ")&amp;", "))),ISNUMBER(SEARCH(", KA,",", "&amp;SUBSTITUTE(SUBSTITUTE(L8,", ",", ")," + ",", ")&amp;", "))),OR(NOT(ISNUMBER(SEARCH(", GA,",", "&amp;SUBSTITUTE(SUBSTITUTE(G8,", ",", ")," + ",", ")&amp;", "))),ISNUMBER(SEARCH(", GA,",", "&amp;SUBSTITUTE(SUBSTITUTE(L8,", ",", ")," + ",", ")&amp;", "))),OR(NOT(ISNUMBER(SEARCH(", SA,",", "&amp;SUBSTITUTE(SUBSTITUTE(G8,", ",", ")," + ",", ")&amp;", "))),ISNUMBER(SEARCH(", SA,",", "&amp;SUBSTITUTE(SUBSTITUTE(L8,", ",", ")," + ",", ")&amp;", "))),OR(NOT(ISNUMBER(SEARCH(", WA,",", "&amp;SUBSTITUTE(SUBSTITUTE(G8,", ",", ")," + ",", ")&amp;", "))),ISNUMBER(SEARCH(", WA,",", "&amp;SUBSTITUTE(SUBSTITUTE(L8,", ",", ")," + ",", ")&amp;", "))),OR(NOT(ISNUMBER(SEARCH(", YA,",", "&amp;SUBSTITUTE(SUBSTITUTE(G8,", ",", ")," + ",", ")&amp;", "))),ISNUMBER(SEARCH(", YA,",", "&amp;SUBSTITUTE(SUBSTITUTE(L8,", ",", ")," + ",", ")&amp;", "))),OR(NOT(ISNUMBER(SEARCH(", DA/RA,",", "&amp;SUBSTITUTE(SUBSTITUTE(G8,", ",", ")," + ",", ")&amp;", "))),ISNUMBER(SEARCH(", DA/RA,",", "&amp;SUBSTITUTE(SUBSTITUTE(L8,", ",", ")," + ",", ")&amp;", "))),OR(NOT(ISNUMBER(SEARCH(", HA,",", "&amp;SUBSTITUTE(SUBSTITUTE(G8,", ",", ")," + ",", ")&amp;", "))),ISNUMBER(SEARCH(", HA,",", "&amp;SUBSTITUTE(SUBSTITUTE(L8,", ",", ")," + ",", ")&amp;", "))),OR(NOT(ISNUMBER(SEARCH(", LA,",", "&amp;SUBSTITUTE(SUBSTITUTE(G8,", ",", ")," + ",", ")&amp;", "))),ISNUMBER(SEARCH(", LA,",", "&amp;SUBSTITUTE(SUBSTITUTE(L8,", ",", ")," + ",", ")&amp;", "))),OR(NOT(ISNUMBER(SEARCH(", NGA,",", "&amp;SUBSTITUTE(SUBSTITUTE(G8,", ",", ")," + ",", ")&amp;", "))),ISNUMBER(SEARCH(", NGA,",", "&amp;SUBSTITUTE(SUBSTITUTE(L8,", ",", ")," + ",", ")&amp;", "))),OR(NOT(ISNUMBER(SEARCH(", PA,",", "&amp;SUBSTITUTE(SUBSTITUTE(G8,", ",", ")," + ",", ")&amp;", "))),ISNUMBER(SEARCH(", PA,",", "&amp;SUBSTITUTE(SUBSTITUTE(L8,", ",", ")," + ",", ")&amp;", "))),TRUE),"PASS","FAIL")</x:f>
        <x:v>PASS</x:v>
      </x:c>
      <x:c r="N8" s="44" t="str">
        <x:v>Original</x:v>
      </x:c>
      <x:c r="O8" s="44" t="str"/>
      <x:c r="P8" s="44" t="str">
        <x:v>None</x:v>
      </x:c>
      <x:c r="Q8" s="44" t="str">
        <x:f>IF(OR(ISNUMBER(SEARCH("kudlit",LOWER(E8))),ISNUMBER(SEARCH("ᜒ",E8)),ISNUMBER(SEARCH("ᜓ",E8))),"Yes","No")</x:f>
        <x:v>No</x:v>
      </x:c>
      <x:c r="R8" s="44" t="str">
        <x:f>IF(OR(ISNUMBER(SEARCH("BE",E8)),ISNUMBER(SEARCH("BI",E8)),ISNUMBER(SEARCH("BO",E8)),ISNUMBER(SEARCH("BU",E8)),ISNUMBER(SEARCH("DE",E8)),ISNUMBER(SEARCH("DI",E8)),ISNUMBER(SEARCH("DO",E8)),ISNUMBER(SEARCH("DU",E8)),ISNUMBER(SEARCH("GE",E8)),ISNUMBER(SEARCH("GI",E8)),ISNUMBER(SEARCH("GO",E8)),ISNUMBER(SEARCH("GU",E8)),ISNUMBER(SEARCH("HE",E8)),ISNUMBER(SEARCH("HI",E8)),ISNUMBER(SEARCH("HO",E8)),ISNUMBER(SEARCH("HU",E8)),ISNUMBER(SEARCH("KE",E8)),ISNUMBER(SEARCH("KI",E8)),ISNUMBER(SEARCH("KO",E8)),ISNUMBER(SEARCH("KU",E8)),ISNUMBER(SEARCH("LE",E8)),ISNUMBER(SEARCH("LI",E8)),ISNUMBER(SEARCH("LO",E8)),ISNUMBER(SEARCH("LU",E8)),ISNUMBER(SEARCH("ME",E8)),ISNUMBER(SEARCH("MI",E8)),ISNUMBER(SEARCH("MO",E8)),ISNUMBER(SEARCH("MU",E8)),ISNUMBER(SEARCH("NE",E8)),ISNUMBER(SEARCH("NI",E8)),ISNUMBER(SEARCH("NO",E8)),ISNUMBER(SEARCH("NU",E8)),ISNUMBER(SEARCH("PE",E8)),ISNUMBER(SEARCH("PI",E8)),ISNUMBER(SEARCH("PO",E8)),ISNUMBER(SEARCH("PU",E8)),ISNUMBER(SEARCH("RE",E8)),ISNUMBER(SEARCH("RI",E8)),ISNUMBER(SEARCH("RO",E8)),ISNUMBER(SEARCH("RU",E8)),ISNUMBER(SEARCH("SE",E8)),ISNUMBER(SEARCH("SI",E8)),ISNUMBER(SEARCH("SO",E8)),ISNUMBER(SEARCH("SU",E8)),ISNUMBER(SEARCH("TE",E8)),ISNUMBER(SEARCH("TI",E8)),ISNUMBER(SEARCH("TO",E8)),ISNUMBER(SEARCH("TU",E8)),ISNUMBER(SEARCH("WE",E8)),ISNUMBER(SEARCH("WI",E8)),ISNUMBER(SEARCH("WO",E8)),ISNUMBER(SEARCH("WU",E8)),ISNUMBER(SEARCH("YE",E8)),ISNUMBER(SEARCH("YI",E8)),ISNUMBER(SEARCH("YO",E8)),ISNUMBER(SEARCH("YU",E8))),"Yes","No")</x:f>
        <x:v>No</x:v>
      </x:c>
      <x:c r="S8" s="44" t="str">
        <x:v>Era 1 - Ugat!D15</x:v>
      </x:c>
      <x:c r="T8" s="44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8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8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8," + "))=COUNTA(TEXTSPLIT(G8," + "))),"PASS","FAIL")</x:f>
        <x:v>PASS</x:v>
      </x:c>
      <x:c r="U8" s="44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8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"&amp;SUBSTITUTE(SUBSTITUTE(G8,", ",", ")," + ",", ")&amp;", "))),AND('Character Matrix'!$J$8&lt;&gt;"",'Character Matrix'!$Q$8&lt;&gt;"Missing",'Character Matrix'!$Q$8&lt;&gt;"Conflicting")),OR(NOT(ISNUMBER(SEARCH(", E/I,",", "&amp;SUBSTITUTE(SUBSTITUTE(G8,", ",", ")," + ",", ")&amp;", "))),AND('Character Matrix'!$J$9&lt;&gt;"",'Character Matrix'!$Q$9&lt;&gt;"Missing",'Character Matrix'!$Q$9&lt;&gt;"Conflicting")),OR(NOT(ISNUMBER(SEARCH(", BA,",", "&amp;SUBSTITUTE(SUBSTITUTE(G8,", ",", ")," + ",", ")&amp;", "))),AND('Character Matrix'!$J$10&lt;&gt;"",'Character Matrix'!$Q$10&lt;&gt;"Missing",'Character Matrix'!$Q$10&lt;&gt;"Conflicting")),OR(NOT(ISNUMBER(SEARCH(", MA,",", "&amp;SUBSTITUTE(SUBSTITUTE(G8,", ",", ")," + ",", ")&amp;", "))),AND('Character Matrix'!$J$11&lt;&gt;"",'Character Matrix'!$Q$11&lt;&gt;"Missing",'Character Matrix'!$Q$11&lt;&gt;"Conflicting")),OR(NOT(ISNUMBER(SEARCH(", NA,",", "&amp;SUBSTITUTE(SUBSTITUTE(G8,", ",", ")," + ",", ")&amp;", "))),AND('Character Matrix'!$J$12&lt;&gt;"",'Character Matrix'!$Q$12&lt;&gt;"Missing",'Character Matrix'!$Q$12&lt;&gt;"Conflicting")),OR(NOT(ISNUMBER(SEARCH(", TA,",", "&amp;SUBSTITUTE(SUBSTITUTE(G8,", ",", ")," + ",", ")&amp;", "))),AND('Character Matrix'!$J$13&lt;&gt;"",'Character Matrix'!$Q$13&lt;&gt;"Missing",'Character Matrix'!$Q$13&lt;&gt;"Conflicting")),OR(NOT(ISNUMBER(SEARCH(", O/U,",", "&amp;SUBSTITUTE(SUBSTITUTE(G8,", ",", ")," + ",", ")&amp;", "))),AND('Character Matrix'!$J$14&lt;&gt;"",'Character Matrix'!$Q$14&lt;&gt;"Missing",'Character Matrix'!$Q$14&lt;&gt;"Conflicting")),OR(NOT(ISNUMBER(SEARCH(", KA,",", "&amp;SUBSTITUTE(SUBSTITUTE(G8,", ",", ")," + ",", ")&amp;", "))),AND('Character Matrix'!$J$15&lt;&gt;"",'Character Matrix'!$Q$15&lt;&gt;"Missing",'Character Matrix'!$Q$15&lt;&gt;"Conflicting")),OR(NOT(ISNUMBER(SEARCH(", GA,",", "&amp;SUBSTITUTE(SUBSTITUTE(G8,", ",", ")," + ",", ")&amp;", "))),AND('Character Matrix'!$J$16&lt;&gt;"",'Character Matrix'!$Q$16&lt;&gt;"Missing",'Character Matrix'!$Q$16&lt;&gt;"Conflicting")),OR(NOT(ISNUMBER(SEARCH(", SA,",", "&amp;SUBSTITUTE(SUBSTITUTE(G8,", ",", ")," + ",", ")&amp;", "))),AND('Character Matrix'!$J$17&lt;&gt;"",'Character Matrix'!$Q$17&lt;&gt;"Missing",'Character Matrix'!$Q$17&lt;&gt;"Conflicting")),OR(NOT(ISNUMBER(SEARCH(", WA,",", "&amp;SUBSTITUTE(SUBSTITUTE(G8,", ",", ")," + ",", ")&amp;", "))),AND('Character Matrix'!$J$18&lt;&gt;"",'Character Matrix'!$Q$18&lt;&gt;"Missing",'Character Matrix'!$Q$18&lt;&gt;"Conflicting")),OR(NOT(ISNUMBER(SEARCH(", YA,",", "&amp;SUBSTITUTE(SUBSTITUTE(G8,", ",", ")," + ",", ")&amp;", "))),AND('Character Matrix'!$J$19&lt;&gt;"",'Character Matrix'!$Q$19&lt;&gt;"Missing",'Character Matrix'!$Q$19&lt;&gt;"Conflicting")),OR(NOT(ISNUMBER(SEARCH(", DA/RA,",", "&amp;SUBSTITUTE(SUBSTITUTE(G8,", ",", ")," + ",", ")&amp;", "))),AND('Character Matrix'!$J$20&lt;&gt;"",'Character Matrix'!$Q$20&lt;&gt;"Missing",'Character Matrix'!$Q$20&lt;&gt;"Conflicting")),OR(NOT(ISNUMBER(SEARCH(", HA,",", "&amp;SUBSTITUTE(SUBSTITUTE(G8,", ",", ")," + ",", ")&amp;", "))),AND('Character Matrix'!$J$21&lt;&gt;"",'Character Matrix'!$Q$21&lt;&gt;"Missing",'Character Matrix'!$Q$21&lt;&gt;"Conflicting")),OR(NOT(ISNUMBER(SEARCH(", LA,",", "&amp;SUBSTITUTE(SUBSTITUTE(G8,", ",", ")," + ",", ")&amp;", "))),AND('Character Matrix'!$J$22&lt;&gt;"",'Character Matrix'!$Q$22&lt;&gt;"Missing",'Character Matrix'!$Q$22&lt;&gt;"Conflicting")),OR(NOT(ISNUMBER(SEARCH(", NGA,",", "&amp;SUBSTITUTE(SUBSTITUTE(G8,", ",", ")," + ",", ")&amp;", "))),AND('Character Matrix'!$J$23&lt;&gt;"",'Character Matrix'!$Q$23&lt;&gt;"Missing",'Character Matrix'!$Q$23&lt;&gt;"Conflicting")),OR(NOT(ISNUMBER(SEARCH(", PA,",", "&amp;SUBSTITUTE(SUBSTITUTE(G8,", ",", ")," + ",", ")&amp;", "))),AND('Character Matrix'!$J$24&lt;&gt;"",'Character Matrix'!$Q$24&lt;&gt;"Missing",'Character Matrix'!$Q$24&lt;&gt;"Conflicting"))),"PASS","FAIL")</x:f>
        <x:v>PASS</x:v>
      </x:c>
      <x:c r="V8" s="45" t="str">
        <x:f>IF(AND(M8="PASS",Q8="No",R8="No",T8="PASS",U8="PASS",OR(K8="N/A",K8="PASS")),"PASS","FAIL")</x:f>
        <x:v>PASS</x:v>
      </x:c>
    </x:row>
    <x:row r="9" ht="52" customHeight="1">
      <x:c r="A9" s="46" t="n">
        <x:v>1</x:v>
      </x:c>
      <x:c r="B9" s="47" t="str">
        <x:v>Ugat</x:v>
      </x:c>
      <x:c r="C9" s="47" t="n">
        <x:v>1</x:v>
      </x:c>
      <x:c r="D9" s="47" t="n">
        <x:v>2</x:v>
      </x:c>
      <x:c r="E9" s="47" t="str">
        <x:v>AMA</x:v>
      </x:c>
      <x:c r="F9" s="47" t="str">
        <x:v>A + MA</x:v>
      </x:c>
      <x:c r="G9" s="47" t="str">
        <x:v>A + MA</x:v>
      </x:c>
      <x:c r="H9" s="47" t="str">
        <x:v>MA</x:v>
      </x:c>
      <x:c r="I9" s="47" t="str">
        <x:v>MA</x:v>
      </x:c>
      <x:c r="J9" s="47" t="str">
        <x:v>MA</x:v>
      </x:c>
      <x:c r="K9" s="47" t="str">
        <x:f>IF(D9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9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9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9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9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PASS</x:v>
      </x:c>
      <x:c r="L9" s="47" t="str">
        <x:v>A, E/I, MA, NA</x:v>
      </x:c>
      <x:c r="M9" s="47" t="str">
        <x:f>IF(AND(LEN(L9)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9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9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9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"&amp;SUBSTITUTE(SUBSTITUTE(G9,", ",", ")," + ",", ")&amp;", "))),ISNUMBER(SEARCH(", A,",", "&amp;SUBSTITUTE(SUBSTITUTE(L9,", ",", ")," + ",", ")&amp;", "))),OR(NOT(ISNUMBER(SEARCH(", E/I,",", "&amp;SUBSTITUTE(SUBSTITUTE(G9,", ",", ")," + ",", ")&amp;", "))),ISNUMBER(SEARCH(", E/I,",", "&amp;SUBSTITUTE(SUBSTITUTE(L9,", ",", ")," + ",", ")&amp;", "))),OR(NOT(ISNUMBER(SEARCH(", BA,",", "&amp;SUBSTITUTE(SUBSTITUTE(G9,", ",", ")," + ",", ")&amp;", "))),ISNUMBER(SEARCH(", BA,",", "&amp;SUBSTITUTE(SUBSTITUTE(L9,", ",", ")," + ",", ")&amp;", "))),OR(NOT(ISNUMBER(SEARCH(", MA,",", "&amp;SUBSTITUTE(SUBSTITUTE(G9,", ",", ")," + ",", ")&amp;", "))),ISNUMBER(SEARCH(", MA,",", "&amp;SUBSTITUTE(SUBSTITUTE(L9,", ",", ")," + ",", ")&amp;", "))),OR(NOT(ISNUMBER(SEARCH(", NA,",", "&amp;SUBSTITUTE(SUBSTITUTE(G9,", ",", ")," + ",", ")&amp;", "))),ISNUMBER(SEARCH(", NA,",", "&amp;SUBSTITUTE(SUBSTITUTE(L9,", ",", ")," + ",", ")&amp;", "))),OR(NOT(ISNUMBER(SEARCH(", TA,",", "&amp;SUBSTITUTE(SUBSTITUTE(G9,", ",", ")," + ",", ")&amp;", "))),ISNUMBER(SEARCH(", TA,",", "&amp;SUBSTITUTE(SUBSTITUTE(L9,", ",", ")," + ",", ")&amp;", "))),OR(NOT(ISNUMBER(SEARCH(", O/U,",", "&amp;SUBSTITUTE(SUBSTITUTE(G9,", ",", ")," + ",", ")&amp;", "))),ISNUMBER(SEARCH(", O/U,",", "&amp;SUBSTITUTE(SUBSTITUTE(L9,", ",", ")," + ",", ")&amp;", "))),OR(NOT(ISNUMBER(SEARCH(", KA,",", "&amp;SUBSTITUTE(SUBSTITUTE(G9,", ",", ")," + ",", ")&amp;", "))),ISNUMBER(SEARCH(", KA,",", "&amp;SUBSTITUTE(SUBSTITUTE(L9,", ",", ")," + ",", ")&amp;", "))),OR(NOT(ISNUMBER(SEARCH(", GA,",", "&amp;SUBSTITUTE(SUBSTITUTE(G9,", ",", ")," + ",", ")&amp;", "))),ISNUMBER(SEARCH(", GA,",", "&amp;SUBSTITUTE(SUBSTITUTE(L9,", ",", ")," + ",", ")&amp;", "))),OR(NOT(ISNUMBER(SEARCH(", SA,",", "&amp;SUBSTITUTE(SUBSTITUTE(G9,", ",", ")," + ",", ")&amp;", "))),ISNUMBER(SEARCH(", SA,",", "&amp;SUBSTITUTE(SUBSTITUTE(L9,", ",", ")," + ",", ")&amp;", "))),OR(NOT(ISNUMBER(SEARCH(", WA,",", "&amp;SUBSTITUTE(SUBSTITUTE(G9,", ",", ")," + ",", ")&amp;", "))),ISNUMBER(SEARCH(", WA,",", "&amp;SUBSTITUTE(SUBSTITUTE(L9,", ",", ")," + ",", ")&amp;", "))),OR(NOT(ISNUMBER(SEARCH(", YA,",", "&amp;SUBSTITUTE(SUBSTITUTE(G9,", ",", ")," + ",", ")&amp;", "))),ISNUMBER(SEARCH(", YA,",", "&amp;SUBSTITUTE(SUBSTITUTE(L9,", ",", ")," + ",", ")&amp;", "))),OR(NOT(ISNUMBER(SEARCH(", DA/RA,",", "&amp;SUBSTITUTE(SUBSTITUTE(G9,", ",", ")," + ",", ")&amp;", "))),ISNUMBER(SEARCH(", DA/RA,",", "&amp;SUBSTITUTE(SUBSTITUTE(L9,", ",", ")," + ",", ")&amp;", "))),OR(NOT(ISNUMBER(SEARCH(", HA,",", "&amp;SUBSTITUTE(SUBSTITUTE(G9,", ",", ")," + ",", ")&amp;", "))),ISNUMBER(SEARCH(", HA,",", "&amp;SUBSTITUTE(SUBSTITUTE(L9,", ",", ")," + ",", ")&amp;", "))),OR(NOT(ISNUMBER(SEARCH(", LA,",", "&amp;SUBSTITUTE(SUBSTITUTE(G9,", ",", ")," + ",", ")&amp;", "))),ISNUMBER(SEARCH(", LA,",", "&amp;SUBSTITUTE(SUBSTITUTE(L9,", ",", ")," + ",", ")&amp;", "))),OR(NOT(ISNUMBER(SEARCH(", NGA,",", "&amp;SUBSTITUTE(SUBSTITUTE(G9,", ",", ")," + ",", ")&amp;", "))),ISNUMBER(SEARCH(", NGA,",", "&amp;SUBSTITUTE(SUBSTITUTE(L9,", ",", ")," + ",", ")&amp;", "))),OR(NOT(ISNUMBER(SEARCH(", PA,",", "&amp;SUBSTITUTE(SUBSTITUTE(G9,", ",", ")," + ",", ")&amp;", "))),ISNUMBER(SEARCH(", PA,",", "&amp;SUBSTITUTE(SUBSTITUTE(L9,", ",", ")," + ",", ")&amp;", "))),OR(NOT(ISNUMBER(SEARCH(", A,",", "&amp;SUBSTITUTE(SUBSTITUTE(L8,", ",", ")," + ",", ")&amp;", "))),ISNUMBER(SEARCH(", A,",", "&amp;SUBSTITUTE(SUBSTITUTE(L9,", ",", ")," + ",", ")&amp;", "))),OR(NOT(ISNUMBER(SEARCH(", E/I,",", "&amp;SUBSTITUTE(SUBSTITUTE(L8,", ",", ")," + ",", ")&amp;", "))),ISNUMBER(SEARCH(", E/I,",", "&amp;SUBSTITUTE(SUBSTITUTE(L9,", ",", ")," + ",", ")&amp;", "))),OR(NOT(ISNUMBER(SEARCH(", BA,",", "&amp;SUBSTITUTE(SUBSTITUTE(L8,", ",", ")," + ",", ")&amp;", "))),ISNUMBER(SEARCH(", BA,",", "&amp;SUBSTITUTE(SUBSTITUTE(L9,", ",", ")," + ",", ")&amp;", "))),OR(NOT(ISNUMBER(SEARCH(", MA,",", "&amp;SUBSTITUTE(SUBSTITUTE(L8,", ",", ")," + ",", ")&amp;", "))),ISNUMBER(SEARCH(", MA,",", "&amp;SUBSTITUTE(SUBSTITUTE(L9,", ",", ")," + ",", ")&amp;", "))),OR(NOT(ISNUMBER(SEARCH(", NA,",", "&amp;SUBSTITUTE(SUBSTITUTE(L8,", ",", ")," + ",", ")&amp;", "))),ISNUMBER(SEARCH(", NA,",", "&amp;SUBSTITUTE(SUBSTITUTE(L9,", ",", ")," + ",", ")&amp;", "))),OR(NOT(ISNUMBER(SEARCH(", TA,",", "&amp;SUBSTITUTE(SUBSTITUTE(L8,", ",", ")," + ",", ")&amp;", "))),ISNUMBER(SEARCH(", TA,",", "&amp;SUBSTITUTE(SUBSTITUTE(L9,", ",", ")," + ",", ")&amp;", "))),OR(NOT(ISNUMBER(SEARCH(", O/U,",", "&amp;SUBSTITUTE(SUBSTITUTE(L8,", ",", ")," + ",", ")&amp;", "))),ISNUMBER(SEARCH(", O/U,",", "&amp;SUBSTITUTE(SUBSTITUTE(L9,", ",", ")," + ",", ")&amp;", "))),OR(NOT(ISNUMBER(SEARCH(", KA,",", "&amp;SUBSTITUTE(SUBSTITUTE(L8,", ",", ")," + ",", ")&amp;", "))),ISNUMBER(SEARCH(", KA,",", "&amp;SUBSTITUTE(SUBSTITUTE(L9,", ",", ")," + ",", ")&amp;", "))),OR(NOT(ISNUMBER(SEARCH(", GA,",", "&amp;SUBSTITUTE(SUBSTITUTE(L8,", ",", ")," + ",", ")&amp;", "))),ISNUMBER(SEARCH(", GA,",", "&amp;SUBSTITUTE(SUBSTITUTE(L9,", ",", ")," + ",", ")&amp;", "))),OR(NOT(ISNUMBER(SEARCH(", SA,",", "&amp;SUBSTITUTE(SUBSTITUTE(L8,", ",", ")," + ",", ")&amp;", "))),ISNUMBER(SEARCH(", SA,",", "&amp;SUBSTITUTE(SUBSTITUTE(L9,", ",", ")," + ",", ")&amp;", "))),OR(NOT(ISNUMBER(SEARCH(", WA,",", "&amp;SUBSTITUTE(SUBSTITUTE(L8,", ",", ")," + ",", ")&amp;", "))),ISNUMBER(SEARCH(", WA,",", "&amp;SUBSTITUTE(SUBSTITUTE(L9,", ",", ")," + ",", ")&amp;", "))),OR(NOT(ISNUMBER(SEARCH(", YA,",", "&amp;SUBSTITUTE(SUBSTITUTE(L8,", ",", ")," + ",", ")&amp;", "))),ISNUMBER(SEARCH(", YA,",", "&amp;SUBSTITUTE(SUBSTITUTE(L9,", ",", ")," + ",", ")&amp;", "))),OR(NOT(ISNUMBER(SEARCH(", DA/RA,",", "&amp;SUBSTITUTE(SUBSTITUTE(L8,", ",", ")," + ",", ")&amp;", "))),ISNUMBER(SEARCH(", DA/RA,",", "&amp;SUBSTITUTE(SUBSTITUTE(L9,", ",", ")," + ",", ")&amp;", "))),OR(NOT(ISNUMBER(SEARCH(", HA,",", "&amp;SUBSTITUTE(SUBSTITUTE(L8,", ",", ")," + ",", ")&amp;", "))),ISNUMBER(SEARCH(", HA,",", "&amp;SUBSTITUTE(SUBSTITUTE(L9,", ",", ")," + ",", ")&amp;", "))),OR(NOT(ISNUMBER(SEARCH(", LA,",", "&amp;SUBSTITUTE(SUBSTITUTE(L8,", ",", ")," + ",", ")&amp;", "))),ISNUMBER(SEARCH(", LA,",", "&amp;SUBSTITUTE(SUBSTITUTE(L9,", ",", ")," + ",", ")&amp;", "))),OR(NOT(ISNUMBER(SEARCH(", NGA,",", "&amp;SUBSTITUTE(SUBSTITUTE(L8,", ",", ")," + ",", ")&amp;", "))),ISNUMBER(SEARCH(", NGA,",", "&amp;SUBSTITUTE(SUBSTITUTE(L9,", ",", ")," + ",", ")&amp;", "))),OR(NOT(ISNUMBER(SEARCH(", PA,",", "&amp;SUBSTITUTE(SUBSTITUTE(L8,", ",", ")," + ",", ")&amp;", "))),ISNUMBER(SEARCH(", PA,",", "&amp;SUBSTITUTE(SUBSTITUTE(L9,", ",", ")," + ",", ")&amp;", ")))),"PASS","FAIL")</x:f>
        <x:v>PASS</x:v>
      </x:c>
      <x:c r="N9" s="47" t="str">
        <x:v>Original</x:v>
      </x:c>
      <x:c r="O9" s="47" t="str"/>
      <x:c r="P9" s="47" t="str">
        <x:v>None</x:v>
      </x:c>
      <x:c r="Q9" s="47" t="str">
        <x:f>IF(OR(ISNUMBER(SEARCH("kudlit",LOWER(E9))),ISNUMBER(SEARCH("ᜒ",E9)),ISNUMBER(SEARCH("ᜓ",E9))),"Yes","No")</x:f>
        <x:v>No</x:v>
      </x:c>
      <x:c r="R9" s="47" t="str">
        <x:f>IF(OR(ISNUMBER(SEARCH("BE",E9)),ISNUMBER(SEARCH("BI",E9)),ISNUMBER(SEARCH("BO",E9)),ISNUMBER(SEARCH("BU",E9)),ISNUMBER(SEARCH("DE",E9)),ISNUMBER(SEARCH("DI",E9)),ISNUMBER(SEARCH("DO",E9)),ISNUMBER(SEARCH("DU",E9)),ISNUMBER(SEARCH("GE",E9)),ISNUMBER(SEARCH("GI",E9)),ISNUMBER(SEARCH("GO",E9)),ISNUMBER(SEARCH("GU",E9)),ISNUMBER(SEARCH("HE",E9)),ISNUMBER(SEARCH("HI",E9)),ISNUMBER(SEARCH("HO",E9)),ISNUMBER(SEARCH("HU",E9)),ISNUMBER(SEARCH("KE",E9)),ISNUMBER(SEARCH("KI",E9)),ISNUMBER(SEARCH("KO",E9)),ISNUMBER(SEARCH("KU",E9)),ISNUMBER(SEARCH("LE",E9)),ISNUMBER(SEARCH("LI",E9)),ISNUMBER(SEARCH("LO",E9)),ISNUMBER(SEARCH("LU",E9)),ISNUMBER(SEARCH("ME",E9)),ISNUMBER(SEARCH("MI",E9)),ISNUMBER(SEARCH("MO",E9)),ISNUMBER(SEARCH("MU",E9)),ISNUMBER(SEARCH("NE",E9)),ISNUMBER(SEARCH("NI",E9)),ISNUMBER(SEARCH("NO",E9)),ISNUMBER(SEARCH("NU",E9)),ISNUMBER(SEARCH("PE",E9)),ISNUMBER(SEARCH("PI",E9)),ISNUMBER(SEARCH("PO",E9)),ISNUMBER(SEARCH("PU",E9)),ISNUMBER(SEARCH("RE",E9)),ISNUMBER(SEARCH("RI",E9)),ISNUMBER(SEARCH("RO",E9)),ISNUMBER(SEARCH("RU",E9)),ISNUMBER(SEARCH("SE",E9)),ISNUMBER(SEARCH("SI",E9)),ISNUMBER(SEARCH("SO",E9)),ISNUMBER(SEARCH("SU",E9)),ISNUMBER(SEARCH("TE",E9)),ISNUMBER(SEARCH("TI",E9)),ISNUMBER(SEARCH("TO",E9)),ISNUMBER(SEARCH("TU",E9)),ISNUMBER(SEARCH("WE",E9)),ISNUMBER(SEARCH("WI",E9)),ISNUMBER(SEARCH("WO",E9)),ISNUMBER(SEARCH("WU",E9)),ISNUMBER(SEARCH("YE",E9)),ISNUMBER(SEARCH("YI",E9)),ISNUMBER(SEARCH("YO",E9)),ISNUMBER(SEARCH("YU",E9))),"Yes","No")</x:f>
        <x:v>No</x:v>
      </x:c>
      <x:c r="S9" s="47" t="str">
        <x:v>Era 1 - Ugat!D15</x:v>
      </x:c>
      <x:c r="T9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9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9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9," + "))=COUNTA(TEXTSPLIT(G9," + "))),"PASS","FAIL")</x:f>
        <x:v>PASS</x:v>
      </x:c>
      <x:c r="U9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9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"&amp;SUBSTITUTE(SUBSTITUTE(G9,", ",", ")," + ",", ")&amp;", "))),AND('Character Matrix'!$J$8&lt;&gt;"",'Character Matrix'!$Q$8&lt;&gt;"Missing",'Character Matrix'!$Q$8&lt;&gt;"Conflicting")),OR(NOT(ISNUMBER(SEARCH(", E/I,",", "&amp;SUBSTITUTE(SUBSTITUTE(G9,", ",", ")," + ",", ")&amp;", "))),AND('Character Matrix'!$J$9&lt;&gt;"",'Character Matrix'!$Q$9&lt;&gt;"Missing",'Character Matrix'!$Q$9&lt;&gt;"Conflicting")),OR(NOT(ISNUMBER(SEARCH(", BA,",", "&amp;SUBSTITUTE(SUBSTITUTE(G9,", ",", ")," + ",", ")&amp;", "))),AND('Character Matrix'!$J$10&lt;&gt;"",'Character Matrix'!$Q$10&lt;&gt;"Missing",'Character Matrix'!$Q$10&lt;&gt;"Conflicting")),OR(NOT(ISNUMBER(SEARCH(", MA,",", "&amp;SUBSTITUTE(SUBSTITUTE(G9,", ",", ")," + ",", ")&amp;", "))),AND('Character Matrix'!$J$11&lt;&gt;"",'Character Matrix'!$Q$11&lt;&gt;"Missing",'Character Matrix'!$Q$11&lt;&gt;"Conflicting")),OR(NOT(ISNUMBER(SEARCH(", NA,",", "&amp;SUBSTITUTE(SUBSTITUTE(G9,", ",", ")," + ",", ")&amp;", "))),AND('Character Matrix'!$J$12&lt;&gt;"",'Character Matrix'!$Q$12&lt;&gt;"Missing",'Character Matrix'!$Q$12&lt;&gt;"Conflicting")),OR(NOT(ISNUMBER(SEARCH(", TA,",", "&amp;SUBSTITUTE(SUBSTITUTE(G9,", ",", ")," + ",", ")&amp;", "))),AND('Character Matrix'!$J$13&lt;&gt;"",'Character Matrix'!$Q$13&lt;&gt;"Missing",'Character Matrix'!$Q$13&lt;&gt;"Conflicting")),OR(NOT(ISNUMBER(SEARCH(", O/U,",", "&amp;SUBSTITUTE(SUBSTITUTE(G9,", ",", ")," + ",", ")&amp;", "))),AND('Character Matrix'!$J$14&lt;&gt;"",'Character Matrix'!$Q$14&lt;&gt;"Missing",'Character Matrix'!$Q$14&lt;&gt;"Conflicting")),OR(NOT(ISNUMBER(SEARCH(", KA,",", "&amp;SUBSTITUTE(SUBSTITUTE(G9,", ",", ")," + ",", ")&amp;", "))),AND('Character Matrix'!$J$15&lt;&gt;"",'Character Matrix'!$Q$15&lt;&gt;"Missing",'Character Matrix'!$Q$15&lt;&gt;"Conflicting")),OR(NOT(ISNUMBER(SEARCH(", GA,",", "&amp;SUBSTITUTE(SUBSTITUTE(G9,", ",", ")," + ",", ")&amp;", "))),AND('Character Matrix'!$J$16&lt;&gt;"",'Character Matrix'!$Q$16&lt;&gt;"Missing",'Character Matrix'!$Q$16&lt;&gt;"Conflicting")),OR(NOT(ISNUMBER(SEARCH(", SA,",", "&amp;SUBSTITUTE(SUBSTITUTE(G9,", ",", ")," + ",", ")&amp;", "))),AND('Character Matrix'!$J$17&lt;&gt;"",'Character Matrix'!$Q$17&lt;&gt;"Missing",'Character Matrix'!$Q$17&lt;&gt;"Conflicting")),OR(NOT(ISNUMBER(SEARCH(", WA,",", "&amp;SUBSTITUTE(SUBSTITUTE(G9,", ",", ")," + ",", ")&amp;", "))),AND('Character Matrix'!$J$18&lt;&gt;"",'Character Matrix'!$Q$18&lt;&gt;"Missing",'Character Matrix'!$Q$18&lt;&gt;"Conflicting")),OR(NOT(ISNUMBER(SEARCH(", YA,",", "&amp;SUBSTITUTE(SUBSTITUTE(G9,", ",", ")," + ",", ")&amp;", "))),AND('Character Matrix'!$J$19&lt;&gt;"",'Character Matrix'!$Q$19&lt;&gt;"Missing",'Character Matrix'!$Q$19&lt;&gt;"Conflicting")),OR(NOT(ISNUMBER(SEARCH(", DA/RA,",", "&amp;SUBSTITUTE(SUBSTITUTE(G9,", ",", ")," + ",", ")&amp;", "))),AND('Character Matrix'!$J$20&lt;&gt;"",'Character Matrix'!$Q$20&lt;&gt;"Missing",'Character Matrix'!$Q$20&lt;&gt;"Conflicting")),OR(NOT(ISNUMBER(SEARCH(", HA,",", "&amp;SUBSTITUTE(SUBSTITUTE(G9,", ",", ")," + ",", ")&amp;", "))),AND('Character Matrix'!$J$21&lt;&gt;"",'Character Matrix'!$Q$21&lt;&gt;"Missing",'Character Matrix'!$Q$21&lt;&gt;"Conflicting")),OR(NOT(ISNUMBER(SEARCH(", LA,",", "&amp;SUBSTITUTE(SUBSTITUTE(G9,", ",", ")," + ",", ")&amp;", "))),AND('Character Matrix'!$J$22&lt;&gt;"",'Character Matrix'!$Q$22&lt;&gt;"Missing",'Character Matrix'!$Q$22&lt;&gt;"Conflicting")),OR(NOT(ISNUMBER(SEARCH(", NGA,",", "&amp;SUBSTITUTE(SUBSTITUTE(G9,", ",", ")," + ",", ")&amp;", "))),AND('Character Matrix'!$J$23&lt;&gt;"",'Character Matrix'!$Q$23&lt;&gt;"Missing",'Character Matrix'!$Q$23&lt;&gt;"Conflicting")),OR(NOT(ISNUMBER(SEARCH(", PA,",", "&amp;SUBSTITUTE(SUBSTITUTE(G9,", ",", ")," + ",", ")&amp;", "))),AND('Character Matrix'!$J$24&lt;&gt;"",'Character Matrix'!$Q$24&lt;&gt;"Missing",'Character Matrix'!$Q$24&lt;&gt;"Conflicting"))),"PASS","FAIL")</x:f>
        <x:v>PASS</x:v>
      </x:c>
      <x:c r="V9" s="48" t="str">
        <x:f>IF(AND(M9="PASS",Q9="No",R9="No",T9="PASS",U9="PASS",OR(K9="N/A",K9="PASS")),"PASS","FAIL")</x:f>
        <x:v>PASS</x:v>
      </x:c>
    </x:row>
    <x:row r="10" ht="52" customHeight="1">
      <x:c r="A10" s="46" t="n">
        <x:v>2</x:v>
      </x:c>
      <x:c r="B10" s="47" t="str">
        <x:v>Ugat</x:v>
      </x:c>
      <x:c r="C10" s="47" t="n">
        <x:v>2</x:v>
      </x:c>
      <x:c r="D10" s="47" t="n">
        <x:v>1</x:v>
      </x:c>
      <x:c r="E10" s="47" t="str">
        <x:v>BATA</x:v>
      </x:c>
      <x:c r="F10" s="47" t="str">
        <x:v>BA + TA</x:v>
      </x:c>
      <x:c r="G10" s="47" t="str">
        <x:v>BA + TA</x:v>
      </x:c>
      <x:c r="H10" s="47" t="str">
        <x:v>TA</x:v>
      </x:c>
      <x:c r="I10" s="47" t="str">
        <x:v>TA</x:v>
      </x:c>
      <x:c r="J10" s="47" t="str"/>
      <x:c r="K10" s="47" t="str">
        <x:f>IF(D10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10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10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10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10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N/A</x:v>
      </x:c>
      <x:c r="L10" s="47" t="str">
        <x:v>A, E/I, BA, MA, NA, TA</x:v>
      </x:c>
      <x:c r="M10" s="47" t="str">
        <x:f>IF(AND(LEN(L10)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10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10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10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"&amp;SUBSTITUTE(SUBSTITUTE(G10,", ",", ")," + ",", ")&amp;", "))),ISNUMBER(SEARCH(", A,",", "&amp;SUBSTITUTE(SUBSTITUTE(L10,", ",", ")," + ",", ")&amp;", "))),OR(NOT(ISNUMBER(SEARCH(", E/I,",", "&amp;SUBSTITUTE(SUBSTITUTE(G10,", ",", ")," + ",", ")&amp;", "))),ISNUMBER(SEARCH(", E/I,",", "&amp;SUBSTITUTE(SUBSTITUTE(L10,", ",", ")," + ",", ")&amp;", "))),OR(NOT(ISNUMBER(SEARCH(", BA,",", "&amp;SUBSTITUTE(SUBSTITUTE(G10,", ",", ")," + ",", ")&amp;", "))),ISNUMBER(SEARCH(", BA,",", "&amp;SUBSTITUTE(SUBSTITUTE(L10,", ",", ")," + ",", ")&amp;", "))),OR(NOT(ISNUMBER(SEARCH(", MA,",", "&amp;SUBSTITUTE(SUBSTITUTE(G10,", ",", ")," + ",", ")&amp;", "))),ISNUMBER(SEARCH(", MA,",", "&amp;SUBSTITUTE(SUBSTITUTE(L10,", ",", ")," + ",", ")&amp;", "))),OR(NOT(ISNUMBER(SEARCH(", NA,",", "&amp;SUBSTITUTE(SUBSTITUTE(G10,", ",", ")," + ",", ")&amp;", "))),ISNUMBER(SEARCH(", NA,",", "&amp;SUBSTITUTE(SUBSTITUTE(L10,", ",", ")," + ",", ")&amp;", "))),OR(NOT(ISNUMBER(SEARCH(", TA,",", "&amp;SUBSTITUTE(SUBSTITUTE(G10,", ",", ")," + ",", ")&amp;", "))),ISNUMBER(SEARCH(", TA,",", "&amp;SUBSTITUTE(SUBSTITUTE(L10,", ",", ")," + ",", ")&amp;", "))),OR(NOT(ISNUMBER(SEARCH(", O/U,",", "&amp;SUBSTITUTE(SUBSTITUTE(G10,", ",", ")," + ",", ")&amp;", "))),ISNUMBER(SEARCH(", O/U,",", "&amp;SUBSTITUTE(SUBSTITUTE(L10,", ",", ")," + ",", ")&amp;", "))),OR(NOT(ISNUMBER(SEARCH(", KA,",", "&amp;SUBSTITUTE(SUBSTITUTE(G10,", ",", ")," + ",", ")&amp;", "))),ISNUMBER(SEARCH(", KA,",", "&amp;SUBSTITUTE(SUBSTITUTE(L10,", ",", ")," + ",", ")&amp;", "))),OR(NOT(ISNUMBER(SEARCH(", GA,",", "&amp;SUBSTITUTE(SUBSTITUTE(G10,", ",", ")," + ",", ")&amp;", "))),ISNUMBER(SEARCH(", GA,",", "&amp;SUBSTITUTE(SUBSTITUTE(L10,", ",", ")," + ",", ")&amp;", "))),OR(NOT(ISNUMBER(SEARCH(", SA,",", "&amp;SUBSTITUTE(SUBSTITUTE(G10,", ",", ")," + ",", ")&amp;", "))),ISNUMBER(SEARCH(", SA,",", "&amp;SUBSTITUTE(SUBSTITUTE(L10,", ",", ")," + ",", ")&amp;", "))),OR(NOT(ISNUMBER(SEARCH(", WA,",", "&amp;SUBSTITUTE(SUBSTITUTE(G10,", ",", ")," + ",", ")&amp;", "))),ISNUMBER(SEARCH(", WA,",", "&amp;SUBSTITUTE(SUBSTITUTE(L10,", ",", ")," + ",", ")&amp;", "))),OR(NOT(ISNUMBER(SEARCH(", YA,",", "&amp;SUBSTITUTE(SUBSTITUTE(G10,", ",", ")," + ",", ")&amp;", "))),ISNUMBER(SEARCH(", YA,",", "&amp;SUBSTITUTE(SUBSTITUTE(L10,", ",", ")," + ",", ")&amp;", "))),OR(NOT(ISNUMBER(SEARCH(", DA/RA,",", "&amp;SUBSTITUTE(SUBSTITUTE(G10,", ",", ")," + ",", ")&amp;", "))),ISNUMBER(SEARCH(", DA/RA,",", "&amp;SUBSTITUTE(SUBSTITUTE(L10,", ",", ")," + ",", ")&amp;", "))),OR(NOT(ISNUMBER(SEARCH(", HA,",", "&amp;SUBSTITUTE(SUBSTITUTE(G10,", ",", ")," + ",", ")&amp;", "))),ISNUMBER(SEARCH(", HA,",", "&amp;SUBSTITUTE(SUBSTITUTE(L10,", ",", ")," + ",", ")&amp;", "))),OR(NOT(ISNUMBER(SEARCH(", LA,",", "&amp;SUBSTITUTE(SUBSTITUTE(G10,", ",", ")," + ",", ")&amp;", "))),ISNUMBER(SEARCH(", LA,",", "&amp;SUBSTITUTE(SUBSTITUTE(L10,", ",", ")," + ",", ")&amp;", "))),OR(NOT(ISNUMBER(SEARCH(", NGA,",", "&amp;SUBSTITUTE(SUBSTITUTE(G10,", ",", ")," + ",", ")&amp;", "))),ISNUMBER(SEARCH(", NGA,",", "&amp;SUBSTITUTE(SUBSTITUTE(L10,", ",", ")," + ",", ")&amp;", "))),OR(NOT(ISNUMBER(SEARCH(", PA,",", "&amp;SUBSTITUTE(SUBSTITUTE(G10,", ",", ")," + ",", ")&amp;", "))),ISNUMBER(SEARCH(", PA,",", "&amp;SUBSTITUTE(SUBSTITUTE(L10,", ",", ")," + ",", ")&amp;", "))),OR(NOT(ISNUMBER(SEARCH(", A,",", "&amp;SUBSTITUTE(SUBSTITUTE(L9,", ",", ")," + ",", ")&amp;", "))),ISNUMBER(SEARCH(", A,",", "&amp;SUBSTITUTE(SUBSTITUTE(L10,", ",", ")," + ",", ")&amp;", "))),OR(NOT(ISNUMBER(SEARCH(", E/I,",", "&amp;SUBSTITUTE(SUBSTITUTE(L9,", ",", ")," + ",", ")&amp;", "))),ISNUMBER(SEARCH(", E/I,",", "&amp;SUBSTITUTE(SUBSTITUTE(L10,", ",", ")," + ",", ")&amp;", "))),OR(NOT(ISNUMBER(SEARCH(", BA,",", "&amp;SUBSTITUTE(SUBSTITUTE(L9,", ",", ")," + ",", ")&amp;", "))),ISNUMBER(SEARCH(", BA,",", "&amp;SUBSTITUTE(SUBSTITUTE(L10,", ",", ")," + ",", ")&amp;", "))),OR(NOT(ISNUMBER(SEARCH(", MA,",", "&amp;SUBSTITUTE(SUBSTITUTE(L9,", ",", ")," + ",", ")&amp;", "))),ISNUMBER(SEARCH(", MA,",", "&amp;SUBSTITUTE(SUBSTITUTE(L10,", ",", ")," + ",", ")&amp;", "))),OR(NOT(ISNUMBER(SEARCH(", NA,",", "&amp;SUBSTITUTE(SUBSTITUTE(L9,", ",", ")," + ",", ")&amp;", "))),ISNUMBER(SEARCH(", NA,",", "&amp;SUBSTITUTE(SUBSTITUTE(L10,", ",", ")," + ",", ")&amp;", "))),OR(NOT(ISNUMBER(SEARCH(", TA,",", "&amp;SUBSTITUTE(SUBSTITUTE(L9,", ",", ")," + ",", ")&amp;", "))),ISNUMBER(SEARCH(", TA,",", "&amp;SUBSTITUTE(SUBSTITUTE(L10,", ",", ")," + ",", ")&amp;", "))),OR(NOT(ISNUMBER(SEARCH(", O/U,",", "&amp;SUBSTITUTE(SUBSTITUTE(L9,", ",", ")," + ",", ")&amp;", "))),ISNUMBER(SEARCH(", O/U,",", "&amp;SUBSTITUTE(SUBSTITUTE(L10,", ",", ")," + ",", ")&amp;", "))),OR(NOT(ISNUMBER(SEARCH(", KA,",", "&amp;SUBSTITUTE(SUBSTITUTE(L9,", ",", ")," + ",", ")&amp;", "))),ISNUMBER(SEARCH(", KA,",", "&amp;SUBSTITUTE(SUBSTITUTE(L10,", ",", ")," + ",", ")&amp;", "))),OR(NOT(ISNUMBER(SEARCH(", GA,",", "&amp;SUBSTITUTE(SUBSTITUTE(L9,", ",", ")," + ",", ")&amp;", "))),ISNUMBER(SEARCH(", GA,",", "&amp;SUBSTITUTE(SUBSTITUTE(L10,", ",", ")," + ",", ")&amp;", "))),OR(NOT(ISNUMBER(SEARCH(", SA,",", "&amp;SUBSTITUTE(SUBSTITUTE(L9,", ",", ")," + ",", ")&amp;", "))),ISNUMBER(SEARCH(", SA,",", "&amp;SUBSTITUTE(SUBSTITUTE(L10,", ",", ")," + ",", ")&amp;", "))),OR(NOT(ISNUMBER(SEARCH(", WA,",", "&amp;SUBSTITUTE(SUBSTITUTE(L9,", ",", ")," + ",", ")&amp;", "))),ISNUMBER(SEARCH(", WA,",", "&amp;SUBSTITUTE(SUBSTITUTE(L10,", ",", ")," + ",", ")&amp;", "))),OR(NOT(ISNUMBER(SEARCH(", YA,",", "&amp;SUBSTITUTE(SUBSTITUTE(L9,", ",", ")," + ",", ")&amp;", "))),ISNUMBER(SEARCH(", YA,",", "&amp;SUBSTITUTE(SUBSTITUTE(L10,", ",", ")," + ",", ")&amp;", "))),OR(NOT(ISNUMBER(SEARCH(", DA/RA,",", "&amp;SUBSTITUTE(SUBSTITUTE(L9,", ",", ")," + ",", ")&amp;", "))),ISNUMBER(SEARCH(", DA/RA,",", "&amp;SUBSTITUTE(SUBSTITUTE(L10,", ",", ")," + ",", ")&amp;", "))),OR(NOT(ISNUMBER(SEARCH(", HA,",", "&amp;SUBSTITUTE(SUBSTITUTE(L9,", ",", ")," + ",", ")&amp;", "))),ISNUMBER(SEARCH(", HA,",", "&amp;SUBSTITUTE(SUBSTITUTE(L10,", ",", ")," + ",", ")&amp;", "))),OR(NOT(ISNUMBER(SEARCH(", LA,",", "&amp;SUBSTITUTE(SUBSTITUTE(L9,", ",", ")," + ",", ")&amp;", "))),ISNUMBER(SEARCH(", LA,",", "&amp;SUBSTITUTE(SUBSTITUTE(L10,", ",", ")," + ",", ")&amp;", "))),OR(NOT(ISNUMBER(SEARCH(", NGA,",", "&amp;SUBSTITUTE(SUBSTITUTE(L9,", ",", ")," + ",", ")&amp;", "))),ISNUMBER(SEARCH(", NGA,",", "&amp;SUBSTITUTE(SUBSTITUTE(L10,", ",", ")," + ",", ")&amp;", "))),OR(NOT(ISNUMBER(SEARCH(", PA,",", "&amp;SUBSTITUTE(SUBSTITUTE(L9,", ",", ")," + ",", ")&amp;", "))),ISNUMBER(SEARCH(", PA,",", "&amp;SUBSTITUTE(SUBSTITUTE(L10,", ",", ")," + ",", ")&amp;", ")))),"PASS","FAIL")</x:f>
        <x:v>PASS</x:v>
      </x:c>
      <x:c r="N10" s="47" t="str">
        <x:v>Original</x:v>
      </x:c>
      <x:c r="O10" s="47" t="str"/>
      <x:c r="P10" s="47" t="str">
        <x:v>None</x:v>
      </x:c>
      <x:c r="Q10" s="47" t="str">
        <x:f>IF(OR(ISNUMBER(SEARCH("kudlit",LOWER(E10))),ISNUMBER(SEARCH("ᜒ",E10)),ISNUMBER(SEARCH("ᜓ",E10))),"Yes","No")</x:f>
        <x:v>No</x:v>
      </x:c>
      <x:c r="R10" s="47" t="str">
        <x:f>IF(OR(ISNUMBER(SEARCH("BE",E10)),ISNUMBER(SEARCH("BI",E10)),ISNUMBER(SEARCH("BO",E10)),ISNUMBER(SEARCH("BU",E10)),ISNUMBER(SEARCH("DE",E10)),ISNUMBER(SEARCH("DI",E10)),ISNUMBER(SEARCH("DO",E10)),ISNUMBER(SEARCH("DU",E10)),ISNUMBER(SEARCH("GE",E10)),ISNUMBER(SEARCH("GI",E10)),ISNUMBER(SEARCH("GO",E10)),ISNUMBER(SEARCH("GU",E10)),ISNUMBER(SEARCH("HE",E10)),ISNUMBER(SEARCH("HI",E10)),ISNUMBER(SEARCH("HO",E10)),ISNUMBER(SEARCH("HU",E10)),ISNUMBER(SEARCH("KE",E10)),ISNUMBER(SEARCH("KI",E10)),ISNUMBER(SEARCH("KO",E10)),ISNUMBER(SEARCH("KU",E10)),ISNUMBER(SEARCH("LE",E10)),ISNUMBER(SEARCH("LI",E10)),ISNUMBER(SEARCH("LO",E10)),ISNUMBER(SEARCH("LU",E10)),ISNUMBER(SEARCH("ME",E10)),ISNUMBER(SEARCH("MI",E10)),ISNUMBER(SEARCH("MO",E10)),ISNUMBER(SEARCH("MU",E10)),ISNUMBER(SEARCH("NE",E10)),ISNUMBER(SEARCH("NI",E10)),ISNUMBER(SEARCH("NO",E10)),ISNUMBER(SEARCH("NU",E10)),ISNUMBER(SEARCH("PE",E10)),ISNUMBER(SEARCH("PI",E10)),ISNUMBER(SEARCH("PO",E10)),ISNUMBER(SEARCH("PU",E10)),ISNUMBER(SEARCH("RE",E10)),ISNUMBER(SEARCH("RI",E10)),ISNUMBER(SEARCH("RO",E10)),ISNUMBER(SEARCH("RU",E10)),ISNUMBER(SEARCH("SE",E10)),ISNUMBER(SEARCH("SI",E10)),ISNUMBER(SEARCH("SO",E10)),ISNUMBER(SEARCH("SU",E10)),ISNUMBER(SEARCH("TE",E10)),ISNUMBER(SEARCH("TI",E10)),ISNUMBER(SEARCH("TO",E10)),ISNUMBER(SEARCH("TU",E10)),ISNUMBER(SEARCH("WE",E10)),ISNUMBER(SEARCH("WI",E10)),ISNUMBER(SEARCH("WO",E10)),ISNUMBER(SEARCH("WU",E10)),ISNUMBER(SEARCH("YE",E10)),ISNUMBER(SEARCH("YI",E10)),ISNUMBER(SEARCH("YO",E10)),ISNUMBER(SEARCH("YU",E10))),"Yes","No")</x:f>
        <x:v>No</x:v>
      </x:c>
      <x:c r="S10" s="47" t="str">
        <x:v>Era 1 - Ugat!D16</x:v>
      </x:c>
      <x:c r="T10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10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10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10," + "))=COUNTA(TEXTSPLIT(G10," + "))),"PASS","FAIL")</x:f>
        <x:v>PASS</x:v>
      </x:c>
      <x:c r="U10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10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"&amp;SUBSTITUTE(SUBSTITUTE(G10,", ",", ")," + ",", ")&amp;", "))),AND('Character Matrix'!$J$8&lt;&gt;"",'Character Matrix'!$Q$8&lt;&gt;"Missing",'Character Matrix'!$Q$8&lt;&gt;"Conflicting")),OR(NOT(ISNUMBER(SEARCH(", E/I,",", "&amp;SUBSTITUTE(SUBSTITUTE(G10,", ",", ")," + ",", ")&amp;", "))),AND('Character Matrix'!$J$9&lt;&gt;"",'Character Matrix'!$Q$9&lt;&gt;"Missing",'Character Matrix'!$Q$9&lt;&gt;"Conflicting")),OR(NOT(ISNUMBER(SEARCH(", BA,",", "&amp;SUBSTITUTE(SUBSTITUTE(G10,", ",", ")," + ",", ")&amp;", "))),AND('Character Matrix'!$J$10&lt;&gt;"",'Character Matrix'!$Q$10&lt;&gt;"Missing",'Character Matrix'!$Q$10&lt;&gt;"Conflicting")),OR(NOT(ISNUMBER(SEARCH(", MA,",", "&amp;SUBSTITUTE(SUBSTITUTE(G10,", ",", ")," + ",", ")&amp;", "))),AND('Character Matrix'!$J$11&lt;&gt;"",'Character Matrix'!$Q$11&lt;&gt;"Missing",'Character Matrix'!$Q$11&lt;&gt;"Conflicting")),OR(NOT(ISNUMBER(SEARCH(", NA,",", "&amp;SUBSTITUTE(SUBSTITUTE(G10,", ",", ")," + ",", ")&amp;", "))),AND('Character Matrix'!$J$12&lt;&gt;"",'Character Matrix'!$Q$12&lt;&gt;"Missing",'Character Matrix'!$Q$12&lt;&gt;"Conflicting")),OR(NOT(ISNUMBER(SEARCH(", TA,",", "&amp;SUBSTITUTE(SUBSTITUTE(G10,", ",", ")," + ",", ")&amp;", "))),AND('Character Matrix'!$J$13&lt;&gt;"",'Character Matrix'!$Q$13&lt;&gt;"Missing",'Character Matrix'!$Q$13&lt;&gt;"Conflicting")),OR(NOT(ISNUMBER(SEARCH(", O/U,",", "&amp;SUBSTITUTE(SUBSTITUTE(G10,", ",", ")," + ",", ")&amp;", "))),AND('Character Matrix'!$J$14&lt;&gt;"",'Character Matrix'!$Q$14&lt;&gt;"Missing",'Character Matrix'!$Q$14&lt;&gt;"Conflicting")),OR(NOT(ISNUMBER(SEARCH(", KA,",", "&amp;SUBSTITUTE(SUBSTITUTE(G10,", ",", ")," + ",", ")&amp;", "))),AND('Character Matrix'!$J$15&lt;&gt;"",'Character Matrix'!$Q$15&lt;&gt;"Missing",'Character Matrix'!$Q$15&lt;&gt;"Conflicting")),OR(NOT(ISNUMBER(SEARCH(", GA,",", "&amp;SUBSTITUTE(SUBSTITUTE(G10,", ",", ")," + ",", ")&amp;", "))),AND('Character Matrix'!$J$16&lt;&gt;"",'Character Matrix'!$Q$16&lt;&gt;"Missing",'Character Matrix'!$Q$16&lt;&gt;"Conflicting")),OR(NOT(ISNUMBER(SEARCH(", SA,",", "&amp;SUBSTITUTE(SUBSTITUTE(G10,", ",", ")," + ",", ")&amp;", "))),AND('Character Matrix'!$J$17&lt;&gt;"",'Character Matrix'!$Q$17&lt;&gt;"Missing",'Character Matrix'!$Q$17&lt;&gt;"Conflicting")),OR(NOT(ISNUMBER(SEARCH(", WA,",", "&amp;SUBSTITUTE(SUBSTITUTE(G10,", ",", ")," + ",", ")&amp;", "))),AND('Character Matrix'!$J$18&lt;&gt;"",'Character Matrix'!$Q$18&lt;&gt;"Missing",'Character Matrix'!$Q$18&lt;&gt;"Conflicting")),OR(NOT(ISNUMBER(SEARCH(", YA,",", "&amp;SUBSTITUTE(SUBSTITUTE(G10,", ",", ")," + ",", ")&amp;", "))),AND('Character Matrix'!$J$19&lt;&gt;"",'Character Matrix'!$Q$19&lt;&gt;"Missing",'Character Matrix'!$Q$19&lt;&gt;"Conflicting")),OR(NOT(ISNUMBER(SEARCH(", DA/RA,",", "&amp;SUBSTITUTE(SUBSTITUTE(G10,", ",", ")," + ",", ")&amp;", "))),AND('Character Matrix'!$J$20&lt;&gt;"",'Character Matrix'!$Q$20&lt;&gt;"Missing",'Character Matrix'!$Q$20&lt;&gt;"Conflicting")),OR(NOT(ISNUMBER(SEARCH(", HA,",", "&amp;SUBSTITUTE(SUBSTITUTE(G10,", ",", ")," + ",", ")&amp;", "))),AND('Character Matrix'!$J$21&lt;&gt;"",'Character Matrix'!$Q$21&lt;&gt;"Missing",'Character Matrix'!$Q$21&lt;&gt;"Conflicting")),OR(NOT(ISNUMBER(SEARCH(", LA,",", "&amp;SUBSTITUTE(SUBSTITUTE(G10,", ",", ")," + ",", ")&amp;", "))),AND('Character Matrix'!$J$22&lt;&gt;"",'Character Matrix'!$Q$22&lt;&gt;"Missing",'Character Matrix'!$Q$22&lt;&gt;"Conflicting")),OR(NOT(ISNUMBER(SEARCH(", NGA,",", "&amp;SUBSTITUTE(SUBSTITUTE(G10,", ",", ")," + ",", ")&amp;", "))),AND('Character Matrix'!$J$23&lt;&gt;"",'Character Matrix'!$Q$23&lt;&gt;"Missing",'Character Matrix'!$Q$23&lt;&gt;"Conflicting")),OR(NOT(ISNUMBER(SEARCH(", PA,",", "&amp;SUBSTITUTE(SUBSTITUTE(G10,", ",", ")," + ",", ")&amp;", "))),AND('Character Matrix'!$J$24&lt;&gt;"",'Character Matrix'!$Q$24&lt;&gt;"Missing",'Character Matrix'!$Q$24&lt;&gt;"Conflicting"))),"PASS","FAIL")</x:f>
        <x:v>PASS</x:v>
      </x:c>
      <x:c r="V10" s="48" t="str">
        <x:f>IF(AND(M10="PASS",Q10="No",R10="No",T10="PASS",U10="PASS",OR(K10="N/A",K10="PASS")),"PASS","FAIL")</x:f>
        <x:v>PASS</x:v>
      </x:c>
    </x:row>
    <x:row r="11" ht="52" customHeight="1">
      <x:c r="A11" s="46" t="n">
        <x:v>2</x:v>
      </x:c>
      <x:c r="B11" s="47" t="str">
        <x:v>Ugat</x:v>
      </x:c>
      <x:c r="C11" s="47" t="n">
        <x:v>2</x:v>
      </x:c>
      <x:c r="D11" s="47" t="n">
        <x:v>2</x:v>
      </x:c>
      <x:c r="E11" s="47" t="str">
        <x:v>MATA</x:v>
      </x:c>
      <x:c r="F11" s="47" t="str">
        <x:v>MA + TA</x:v>
      </x:c>
      <x:c r="G11" s="47" t="str">
        <x:v>MA + TA</x:v>
      </x:c>
      <x:c r="H11" s="47" t="str">
        <x:v>TA</x:v>
      </x:c>
      <x:c r="I11" s="47" t="str">
        <x:v>TA</x:v>
      </x:c>
      <x:c r="J11" s="47" t="str">
        <x:v>TA</x:v>
      </x:c>
      <x:c r="K11" s="47" t="str">
        <x:f>IF(D11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11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11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11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11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PASS</x:v>
      </x:c>
      <x:c r="L11" s="47" t="str">
        <x:v>A, E/I, BA, MA, NA, TA</x:v>
      </x:c>
      <x:c r="M11" s="47" t="str">
        <x:f>IF(AND(LEN(L11)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11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11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11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"&amp;SUBSTITUTE(SUBSTITUTE(G11,", ",", ")," + ",", ")&amp;", "))),ISNUMBER(SEARCH(", A,",", "&amp;SUBSTITUTE(SUBSTITUTE(L11,", ",", ")," + ",", ")&amp;", "))),OR(NOT(ISNUMBER(SEARCH(", E/I,",", "&amp;SUBSTITUTE(SUBSTITUTE(G11,", ",", ")," + ",", ")&amp;", "))),ISNUMBER(SEARCH(", E/I,",", "&amp;SUBSTITUTE(SUBSTITUTE(L11,", ",", ")," + ",", ")&amp;", "))),OR(NOT(ISNUMBER(SEARCH(", BA,",", "&amp;SUBSTITUTE(SUBSTITUTE(G11,", ",", ")," + ",", ")&amp;", "))),ISNUMBER(SEARCH(", BA,",", "&amp;SUBSTITUTE(SUBSTITUTE(L11,", ",", ")," + ",", ")&amp;", "))),OR(NOT(ISNUMBER(SEARCH(", MA,",", "&amp;SUBSTITUTE(SUBSTITUTE(G11,", ",", ")," + ",", ")&amp;", "))),ISNUMBER(SEARCH(", MA,",", "&amp;SUBSTITUTE(SUBSTITUTE(L11,", ",", ")," + ",", ")&amp;", "))),OR(NOT(ISNUMBER(SEARCH(", NA,",", "&amp;SUBSTITUTE(SUBSTITUTE(G11,", ",", ")," + ",", ")&amp;", "))),ISNUMBER(SEARCH(", NA,",", "&amp;SUBSTITUTE(SUBSTITUTE(L11,", ",", ")," + ",", ")&amp;", "))),OR(NOT(ISNUMBER(SEARCH(", TA,",", "&amp;SUBSTITUTE(SUBSTITUTE(G11,", ",", ")," + ",", ")&amp;", "))),ISNUMBER(SEARCH(", TA,",", "&amp;SUBSTITUTE(SUBSTITUTE(L11,", ",", ")," + ",", ")&amp;", "))),OR(NOT(ISNUMBER(SEARCH(", O/U,",", "&amp;SUBSTITUTE(SUBSTITUTE(G11,", ",", ")," + ",", ")&amp;", "))),ISNUMBER(SEARCH(", O/U,",", "&amp;SUBSTITUTE(SUBSTITUTE(L11,", ",", ")," + ",", ")&amp;", "))),OR(NOT(ISNUMBER(SEARCH(", KA,",", "&amp;SUBSTITUTE(SUBSTITUTE(G11,", ",", ")," + ",", ")&amp;", "))),ISNUMBER(SEARCH(", KA,",", "&amp;SUBSTITUTE(SUBSTITUTE(L11,", ",", ")," + ",", ")&amp;", "))),OR(NOT(ISNUMBER(SEARCH(", GA,",", "&amp;SUBSTITUTE(SUBSTITUTE(G11,", ",", ")," + ",", ")&amp;", "))),ISNUMBER(SEARCH(", GA,",", "&amp;SUBSTITUTE(SUBSTITUTE(L11,", ",", ")," + ",", ")&amp;", "))),OR(NOT(ISNUMBER(SEARCH(", SA,",", "&amp;SUBSTITUTE(SUBSTITUTE(G11,", ",", ")," + ",", ")&amp;", "))),ISNUMBER(SEARCH(", SA,",", "&amp;SUBSTITUTE(SUBSTITUTE(L11,", ",", ")," + ",", ")&amp;", "))),OR(NOT(ISNUMBER(SEARCH(", WA,",", "&amp;SUBSTITUTE(SUBSTITUTE(G11,", ",", ")," + ",", ")&amp;", "))),ISNUMBER(SEARCH(", WA,",", "&amp;SUBSTITUTE(SUBSTITUTE(L11,", ",", ")," + ",", ")&amp;", "))),OR(NOT(ISNUMBER(SEARCH(", YA,",", "&amp;SUBSTITUTE(SUBSTITUTE(G11,", ",", ")," + ",", ")&amp;", "))),ISNUMBER(SEARCH(", YA,",", "&amp;SUBSTITUTE(SUBSTITUTE(L11,", ",", ")," + ",", ")&amp;", "))),OR(NOT(ISNUMBER(SEARCH(", DA/RA,",", "&amp;SUBSTITUTE(SUBSTITUTE(G11,", ",", ")," + ",", ")&amp;", "))),ISNUMBER(SEARCH(", DA/RA,",", "&amp;SUBSTITUTE(SUBSTITUTE(L11,", ",", ")," + ",", ")&amp;", "))),OR(NOT(ISNUMBER(SEARCH(", HA,",", "&amp;SUBSTITUTE(SUBSTITUTE(G11,", ",", ")," + ",", ")&amp;", "))),ISNUMBER(SEARCH(", HA,",", "&amp;SUBSTITUTE(SUBSTITUTE(L11,", ",", ")," + ",", ")&amp;", "))),OR(NOT(ISNUMBER(SEARCH(", LA,",", "&amp;SUBSTITUTE(SUBSTITUTE(G11,", ",", ")," + ",", ")&amp;", "))),ISNUMBER(SEARCH(", LA,",", "&amp;SUBSTITUTE(SUBSTITUTE(L11,", ",", ")," + ",", ")&amp;", "))),OR(NOT(ISNUMBER(SEARCH(", NGA,",", "&amp;SUBSTITUTE(SUBSTITUTE(G11,", ",", ")," + ",", ")&amp;", "))),ISNUMBER(SEARCH(", NGA,",", "&amp;SUBSTITUTE(SUBSTITUTE(L11,", ",", ")," + ",", ")&amp;", "))),OR(NOT(ISNUMBER(SEARCH(", PA,",", "&amp;SUBSTITUTE(SUBSTITUTE(G11,", ",", ")," + ",", ")&amp;", "))),ISNUMBER(SEARCH(", PA,",", "&amp;SUBSTITUTE(SUBSTITUTE(L11,", ",", ")," + ",", ")&amp;", "))),OR(NOT(ISNUMBER(SEARCH(", A,",", "&amp;SUBSTITUTE(SUBSTITUTE(L10,", ",", ")," + ",", ")&amp;", "))),ISNUMBER(SEARCH(", A,",", "&amp;SUBSTITUTE(SUBSTITUTE(L11,", ",", ")," + ",", ")&amp;", "))),OR(NOT(ISNUMBER(SEARCH(", E/I,",", "&amp;SUBSTITUTE(SUBSTITUTE(L10,", ",", ")," + ",", ")&amp;", "))),ISNUMBER(SEARCH(", E/I,",", "&amp;SUBSTITUTE(SUBSTITUTE(L11,", ",", ")," + ",", ")&amp;", "))),OR(NOT(ISNUMBER(SEARCH(", BA,",", "&amp;SUBSTITUTE(SUBSTITUTE(L10,", ",", ")," + ",", ")&amp;", "))),ISNUMBER(SEARCH(", BA,",", "&amp;SUBSTITUTE(SUBSTITUTE(L11,", ",", ")," + ",", ")&amp;", "))),OR(NOT(ISNUMBER(SEARCH(", MA,",", "&amp;SUBSTITUTE(SUBSTITUTE(L10,", ",", ")," + ",", ")&amp;", "))),ISNUMBER(SEARCH(", MA,",", "&amp;SUBSTITUTE(SUBSTITUTE(L11,", ",", ")," + ",", ")&amp;", "))),OR(NOT(ISNUMBER(SEARCH(", NA,",", "&amp;SUBSTITUTE(SUBSTITUTE(L10,", ",", ")," + ",", ")&amp;", "))),ISNUMBER(SEARCH(", NA,",", "&amp;SUBSTITUTE(SUBSTITUTE(L11,", ",", ")," + ",", ")&amp;", "))),OR(NOT(ISNUMBER(SEARCH(", TA,",", "&amp;SUBSTITUTE(SUBSTITUTE(L10,", ",", ")," + ",", ")&amp;", "))),ISNUMBER(SEARCH(", TA,",", "&amp;SUBSTITUTE(SUBSTITUTE(L11,", ",", ")," + ",", ")&amp;", "))),OR(NOT(ISNUMBER(SEARCH(", O/U,",", "&amp;SUBSTITUTE(SUBSTITUTE(L10,", ",", ")," + ",", ")&amp;", "))),ISNUMBER(SEARCH(", O/U,",", "&amp;SUBSTITUTE(SUBSTITUTE(L11,", ",", ")," + ",", ")&amp;", "))),OR(NOT(ISNUMBER(SEARCH(", KA,",", "&amp;SUBSTITUTE(SUBSTITUTE(L10,", ",", ")," + ",", ")&amp;", "))),ISNUMBER(SEARCH(", KA,",", "&amp;SUBSTITUTE(SUBSTITUTE(L11,", ",", ")," + ",", ")&amp;", "))),OR(NOT(ISNUMBER(SEARCH(", GA,",", "&amp;SUBSTITUTE(SUBSTITUTE(L10,", ",", ")," + ",", ")&amp;", "))),ISNUMBER(SEARCH(", GA,",", "&amp;SUBSTITUTE(SUBSTITUTE(L11,", ",", ")," + ",", ")&amp;", "))),OR(NOT(ISNUMBER(SEARCH(", SA,",", "&amp;SUBSTITUTE(SUBSTITUTE(L10,", ",", ")," + ",", ")&amp;", "))),ISNUMBER(SEARCH(", SA,",", "&amp;SUBSTITUTE(SUBSTITUTE(L11,", ",", ")," + ",", ")&amp;", "))),OR(NOT(ISNUMBER(SEARCH(", WA,",", "&amp;SUBSTITUTE(SUBSTITUTE(L10,", ",", ")," + ",", ")&amp;", "))),ISNUMBER(SEARCH(", WA,",", "&amp;SUBSTITUTE(SUBSTITUTE(L11,", ",", ")," + ",", ")&amp;", "))),OR(NOT(ISNUMBER(SEARCH(", YA,",", "&amp;SUBSTITUTE(SUBSTITUTE(L10,", ",", ")," + ",", ")&amp;", "))),ISNUMBER(SEARCH(", YA,",", "&amp;SUBSTITUTE(SUBSTITUTE(L11,", ",", ")," + ",", ")&amp;", "))),OR(NOT(ISNUMBER(SEARCH(", DA/RA,",", "&amp;SUBSTITUTE(SUBSTITUTE(L10,", ",", ")," + ",", ")&amp;", "))),ISNUMBER(SEARCH(", DA/RA,",", "&amp;SUBSTITUTE(SUBSTITUTE(L11,", ",", ")," + ",", ")&amp;", "))),OR(NOT(ISNUMBER(SEARCH(", HA,",", "&amp;SUBSTITUTE(SUBSTITUTE(L10,", ",", ")," + ",", ")&amp;", "))),ISNUMBER(SEARCH(", HA,",", "&amp;SUBSTITUTE(SUBSTITUTE(L11,", ",", ")," + ",", ")&amp;", "))),OR(NOT(ISNUMBER(SEARCH(", LA,",", "&amp;SUBSTITUTE(SUBSTITUTE(L10,", ",", ")," + ",", ")&amp;", "))),ISNUMBER(SEARCH(", LA,",", "&amp;SUBSTITUTE(SUBSTITUTE(L11,", ",", ")," + ",", ")&amp;", "))),OR(NOT(ISNUMBER(SEARCH(", NGA,",", "&amp;SUBSTITUTE(SUBSTITUTE(L10,", ",", ")," + ",", ")&amp;", "))),ISNUMBER(SEARCH(", NGA,",", "&amp;SUBSTITUTE(SUBSTITUTE(L11,", ",", ")," + ",", ")&amp;", "))),OR(NOT(ISNUMBER(SEARCH(", PA,",", "&amp;SUBSTITUTE(SUBSTITUTE(L10,", ",", ")," + ",", ")&amp;", "))),ISNUMBER(SEARCH(", PA,",", "&amp;SUBSTITUTE(SUBSTITUTE(L11,", ",", ")," + ",", ")&amp;", ")))),"PASS","FAIL")</x:f>
        <x:v>PASS</x:v>
      </x:c>
      <x:c r="N11" s="47" t="str">
        <x:v>Original</x:v>
      </x:c>
      <x:c r="O11" s="47" t="str"/>
      <x:c r="P11" s="47" t="str">
        <x:v>None</x:v>
      </x:c>
      <x:c r="Q11" s="47" t="str">
        <x:f>IF(OR(ISNUMBER(SEARCH("kudlit",LOWER(E11))),ISNUMBER(SEARCH("ᜒ",E11)),ISNUMBER(SEARCH("ᜓ",E11))),"Yes","No")</x:f>
        <x:v>No</x:v>
      </x:c>
      <x:c r="R11" s="47" t="str">
        <x:f>IF(OR(ISNUMBER(SEARCH("BE",E11)),ISNUMBER(SEARCH("BI",E11)),ISNUMBER(SEARCH("BO",E11)),ISNUMBER(SEARCH("BU",E11)),ISNUMBER(SEARCH("DE",E11)),ISNUMBER(SEARCH("DI",E11)),ISNUMBER(SEARCH("DO",E11)),ISNUMBER(SEARCH("DU",E11)),ISNUMBER(SEARCH("GE",E11)),ISNUMBER(SEARCH("GI",E11)),ISNUMBER(SEARCH("GO",E11)),ISNUMBER(SEARCH("GU",E11)),ISNUMBER(SEARCH("HE",E11)),ISNUMBER(SEARCH("HI",E11)),ISNUMBER(SEARCH("HO",E11)),ISNUMBER(SEARCH("HU",E11)),ISNUMBER(SEARCH("KE",E11)),ISNUMBER(SEARCH("KI",E11)),ISNUMBER(SEARCH("KO",E11)),ISNUMBER(SEARCH("KU",E11)),ISNUMBER(SEARCH("LE",E11)),ISNUMBER(SEARCH("LI",E11)),ISNUMBER(SEARCH("LO",E11)),ISNUMBER(SEARCH("LU",E11)),ISNUMBER(SEARCH("ME",E11)),ISNUMBER(SEARCH("MI",E11)),ISNUMBER(SEARCH("MO",E11)),ISNUMBER(SEARCH("MU",E11)),ISNUMBER(SEARCH("NE",E11)),ISNUMBER(SEARCH("NI",E11)),ISNUMBER(SEARCH("NO",E11)),ISNUMBER(SEARCH("NU",E11)),ISNUMBER(SEARCH("PE",E11)),ISNUMBER(SEARCH("PI",E11)),ISNUMBER(SEARCH("PO",E11)),ISNUMBER(SEARCH("PU",E11)),ISNUMBER(SEARCH("RE",E11)),ISNUMBER(SEARCH("RI",E11)),ISNUMBER(SEARCH("RO",E11)),ISNUMBER(SEARCH("RU",E11)),ISNUMBER(SEARCH("SE",E11)),ISNUMBER(SEARCH("SI",E11)),ISNUMBER(SEARCH("SO",E11)),ISNUMBER(SEARCH("SU",E11)),ISNUMBER(SEARCH("TE",E11)),ISNUMBER(SEARCH("TI",E11)),ISNUMBER(SEARCH("TO",E11)),ISNUMBER(SEARCH("TU",E11)),ISNUMBER(SEARCH("WE",E11)),ISNUMBER(SEARCH("WI",E11)),ISNUMBER(SEARCH("WO",E11)),ISNUMBER(SEARCH("WU",E11)),ISNUMBER(SEARCH("YE",E11)),ISNUMBER(SEARCH("YI",E11)),ISNUMBER(SEARCH("YO",E11)),ISNUMBER(SEARCH("YU",E11))),"Yes","No")</x:f>
        <x:v>No</x:v>
      </x:c>
      <x:c r="S11" s="47" t="str">
        <x:v>Era 1 - Ugat!D16</x:v>
      </x:c>
      <x:c r="T11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11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11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11," + "))=COUNTA(TEXTSPLIT(G11," + "))),"PASS","FAIL")</x:f>
        <x:v>PASS</x:v>
      </x:c>
      <x:c r="U11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11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"&amp;SUBSTITUTE(SUBSTITUTE(G11,", ",", ")," + ",", ")&amp;", "))),AND('Character Matrix'!$J$8&lt;&gt;"",'Character Matrix'!$Q$8&lt;&gt;"Missing",'Character Matrix'!$Q$8&lt;&gt;"Conflicting")),OR(NOT(ISNUMBER(SEARCH(", E/I,",", "&amp;SUBSTITUTE(SUBSTITUTE(G11,", ",", ")," + ",", ")&amp;", "))),AND('Character Matrix'!$J$9&lt;&gt;"",'Character Matrix'!$Q$9&lt;&gt;"Missing",'Character Matrix'!$Q$9&lt;&gt;"Conflicting")),OR(NOT(ISNUMBER(SEARCH(", BA,",", "&amp;SUBSTITUTE(SUBSTITUTE(G11,", ",", ")," + ",", ")&amp;", "))),AND('Character Matrix'!$J$10&lt;&gt;"",'Character Matrix'!$Q$10&lt;&gt;"Missing",'Character Matrix'!$Q$10&lt;&gt;"Conflicting")),OR(NOT(ISNUMBER(SEARCH(", MA,",", "&amp;SUBSTITUTE(SUBSTITUTE(G11,", ",", ")," + ",", ")&amp;", "))),AND('Character Matrix'!$J$11&lt;&gt;"",'Character Matrix'!$Q$11&lt;&gt;"Missing",'Character Matrix'!$Q$11&lt;&gt;"Conflicting")),OR(NOT(ISNUMBER(SEARCH(", NA,",", "&amp;SUBSTITUTE(SUBSTITUTE(G11,", ",", ")," + ",", ")&amp;", "))),AND('Character Matrix'!$J$12&lt;&gt;"",'Character Matrix'!$Q$12&lt;&gt;"Missing",'Character Matrix'!$Q$12&lt;&gt;"Conflicting")),OR(NOT(ISNUMBER(SEARCH(", TA,",", "&amp;SUBSTITUTE(SUBSTITUTE(G11,", ",", ")," + ",", ")&amp;", "))),AND('Character Matrix'!$J$13&lt;&gt;"",'Character Matrix'!$Q$13&lt;&gt;"Missing",'Character Matrix'!$Q$13&lt;&gt;"Conflicting")),OR(NOT(ISNUMBER(SEARCH(", O/U,",", "&amp;SUBSTITUTE(SUBSTITUTE(G11,", ",", ")," + ",", ")&amp;", "))),AND('Character Matrix'!$J$14&lt;&gt;"",'Character Matrix'!$Q$14&lt;&gt;"Missing",'Character Matrix'!$Q$14&lt;&gt;"Conflicting")),OR(NOT(ISNUMBER(SEARCH(", KA,",", "&amp;SUBSTITUTE(SUBSTITUTE(G11,", ",", ")," + ",", ")&amp;", "))),AND('Character Matrix'!$J$15&lt;&gt;"",'Character Matrix'!$Q$15&lt;&gt;"Missing",'Character Matrix'!$Q$15&lt;&gt;"Conflicting")),OR(NOT(ISNUMBER(SEARCH(", GA,",", "&amp;SUBSTITUTE(SUBSTITUTE(G11,", ",", ")," + ",", ")&amp;", "))),AND('Character Matrix'!$J$16&lt;&gt;"",'Character Matrix'!$Q$16&lt;&gt;"Missing",'Character Matrix'!$Q$16&lt;&gt;"Conflicting")),OR(NOT(ISNUMBER(SEARCH(", SA,",", "&amp;SUBSTITUTE(SUBSTITUTE(G11,", ",", ")," + ",", ")&amp;", "))),AND('Character Matrix'!$J$17&lt;&gt;"",'Character Matrix'!$Q$17&lt;&gt;"Missing",'Character Matrix'!$Q$17&lt;&gt;"Conflicting")),OR(NOT(ISNUMBER(SEARCH(", WA,",", "&amp;SUBSTITUTE(SUBSTITUTE(G11,", ",", ")," + ",", ")&amp;", "))),AND('Character Matrix'!$J$18&lt;&gt;"",'Character Matrix'!$Q$18&lt;&gt;"Missing",'Character Matrix'!$Q$18&lt;&gt;"Conflicting")),OR(NOT(ISNUMBER(SEARCH(", YA,",", "&amp;SUBSTITUTE(SUBSTITUTE(G11,", ",", ")," + ",", ")&amp;", "))),AND('Character Matrix'!$J$19&lt;&gt;"",'Character Matrix'!$Q$19&lt;&gt;"Missing",'Character Matrix'!$Q$19&lt;&gt;"Conflicting")),OR(NOT(ISNUMBER(SEARCH(", DA/RA,",", "&amp;SUBSTITUTE(SUBSTITUTE(G11,", ",", ")," + ",", ")&amp;", "))),AND('Character Matrix'!$J$20&lt;&gt;"",'Character Matrix'!$Q$20&lt;&gt;"Missing",'Character Matrix'!$Q$20&lt;&gt;"Conflicting")),OR(NOT(ISNUMBER(SEARCH(", HA,",", "&amp;SUBSTITUTE(SUBSTITUTE(G11,", ",", ")," + ",", ")&amp;", "))),AND('Character Matrix'!$J$21&lt;&gt;"",'Character Matrix'!$Q$21&lt;&gt;"Missing",'Character Matrix'!$Q$21&lt;&gt;"Conflicting")),OR(NOT(ISNUMBER(SEARCH(", LA,",", "&amp;SUBSTITUTE(SUBSTITUTE(G11,", ",", ")," + ",", ")&amp;", "))),AND('Character Matrix'!$J$22&lt;&gt;"",'Character Matrix'!$Q$22&lt;&gt;"Missing",'Character Matrix'!$Q$22&lt;&gt;"Conflicting")),OR(NOT(ISNUMBER(SEARCH(", NGA,",", "&amp;SUBSTITUTE(SUBSTITUTE(G11,", ",", ")," + ",", ")&amp;", "))),AND('Character Matrix'!$J$23&lt;&gt;"",'Character Matrix'!$Q$23&lt;&gt;"Missing",'Character Matrix'!$Q$23&lt;&gt;"Conflicting")),OR(NOT(ISNUMBER(SEARCH(", PA,",", "&amp;SUBSTITUTE(SUBSTITUTE(G11,", ",", ")," + ",", ")&amp;", "))),AND('Character Matrix'!$J$24&lt;&gt;"",'Character Matrix'!$Q$24&lt;&gt;"Missing",'Character Matrix'!$Q$24&lt;&gt;"Conflicting"))),"PASS","FAIL")</x:f>
        <x:v>PASS</x:v>
      </x:c>
      <x:c r="V11" s="48" t="str">
        <x:f>IF(AND(M11="PASS",Q11="No",R11="No",T11="PASS",U11="PASS",OR(K11="N/A",K11="PASS")),"PASS","FAIL")</x:f>
        <x:v>PASS</x:v>
      </x:c>
    </x:row>
    <x:row r="12" ht="52" customHeight="1">
      <x:c r="A12" s="46" t="n">
        <x:v>3</x:v>
      </x:c>
      <x:c r="B12" s="47" t="str">
        <x:v>Ugat</x:v>
      </x:c>
      <x:c r="C12" s="47" t="n">
        <x:v>3</x:v>
      </x:c>
      <x:c r="D12" s="47" t="n">
        <x:v>1</x:v>
      </x:c>
      <x:c r="E12" s="47" t="str">
        <x:v>BATA</x:v>
      </x:c>
      <x:c r="F12" s="47" t="str">
        <x:v>BA + TA</x:v>
      </x:c>
      <x:c r="G12" s="47" t="str">
        <x:v>BA + TA</x:v>
      </x:c>
      <x:c r="H12" s="47" t="str">
        <x:v>TA</x:v>
      </x:c>
      <x:c r="I12" s="47" t="str">
        <x:v>TA</x:v>
      </x:c>
      <x:c r="J12" s="47" t="str"/>
      <x:c r="K12" s="47" t="str">
        <x:f>IF(D12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12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12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12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12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N/A</x:v>
      </x:c>
      <x:c r="L12" s="47" t="str">
        <x:v>A, E/I, BA, MA, NA, TA</x:v>
      </x:c>
      <x:c r="M12" s="47" t="str">
        <x:f>IF(AND(LEN(L12)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12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12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12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"&amp;SUBSTITUTE(SUBSTITUTE(G12,", ",", ")," + ",", ")&amp;", "))),ISNUMBER(SEARCH(", A,",", "&amp;SUBSTITUTE(SUBSTITUTE(L12,", ",", ")," + ",", ")&amp;", "))),OR(NOT(ISNUMBER(SEARCH(", E/I,",", "&amp;SUBSTITUTE(SUBSTITUTE(G12,", ",", ")," + ",", ")&amp;", "))),ISNUMBER(SEARCH(", E/I,",", "&amp;SUBSTITUTE(SUBSTITUTE(L12,", ",", ")," + ",", ")&amp;", "))),OR(NOT(ISNUMBER(SEARCH(", BA,",", "&amp;SUBSTITUTE(SUBSTITUTE(G12,", ",", ")," + ",", ")&amp;", "))),ISNUMBER(SEARCH(", BA,",", "&amp;SUBSTITUTE(SUBSTITUTE(L12,", ",", ")," + ",", ")&amp;", "))),OR(NOT(ISNUMBER(SEARCH(", MA,",", "&amp;SUBSTITUTE(SUBSTITUTE(G12,", ",", ")," + ",", ")&amp;", "))),ISNUMBER(SEARCH(", MA,",", "&amp;SUBSTITUTE(SUBSTITUTE(L12,", ",", ")," + ",", ")&amp;", "))),OR(NOT(ISNUMBER(SEARCH(", NA,",", "&amp;SUBSTITUTE(SUBSTITUTE(G12,", ",", ")," + ",", ")&amp;", "))),ISNUMBER(SEARCH(", NA,",", "&amp;SUBSTITUTE(SUBSTITUTE(L12,", ",", ")," + ",", ")&amp;", "))),OR(NOT(ISNUMBER(SEARCH(", TA,",", "&amp;SUBSTITUTE(SUBSTITUTE(G12,", ",", ")," + ",", ")&amp;", "))),ISNUMBER(SEARCH(", TA,",", "&amp;SUBSTITUTE(SUBSTITUTE(L12,", ",", ")," + ",", ")&amp;", "))),OR(NOT(ISNUMBER(SEARCH(", O/U,",", "&amp;SUBSTITUTE(SUBSTITUTE(G12,", ",", ")," + ",", ")&amp;", "))),ISNUMBER(SEARCH(", O/U,",", "&amp;SUBSTITUTE(SUBSTITUTE(L12,", ",", ")," + ",", ")&amp;", "))),OR(NOT(ISNUMBER(SEARCH(", KA,",", "&amp;SUBSTITUTE(SUBSTITUTE(G12,", ",", ")," + ",", ")&amp;", "))),ISNUMBER(SEARCH(", KA,",", "&amp;SUBSTITUTE(SUBSTITUTE(L12,", ",", ")," + ",", ")&amp;", "))),OR(NOT(ISNUMBER(SEARCH(", GA,",", "&amp;SUBSTITUTE(SUBSTITUTE(G12,", ",", ")," + ",", ")&amp;", "))),ISNUMBER(SEARCH(", GA,",", "&amp;SUBSTITUTE(SUBSTITUTE(L12,", ",", ")," + ",", ")&amp;", "))),OR(NOT(ISNUMBER(SEARCH(", SA,",", "&amp;SUBSTITUTE(SUBSTITUTE(G12,", ",", ")," + ",", ")&amp;", "))),ISNUMBER(SEARCH(", SA,",", "&amp;SUBSTITUTE(SUBSTITUTE(L12,", ",", ")," + ",", ")&amp;", "))),OR(NOT(ISNUMBER(SEARCH(", WA,",", "&amp;SUBSTITUTE(SUBSTITUTE(G12,", ",", ")," + ",", ")&amp;", "))),ISNUMBER(SEARCH(", WA,",", "&amp;SUBSTITUTE(SUBSTITUTE(L12,", ",", ")," + ",", ")&amp;", "))),OR(NOT(ISNUMBER(SEARCH(", YA,",", "&amp;SUBSTITUTE(SUBSTITUTE(G12,", ",", ")," + ",", ")&amp;", "))),ISNUMBER(SEARCH(", YA,",", "&amp;SUBSTITUTE(SUBSTITUTE(L12,", ",", ")," + ",", ")&amp;", "))),OR(NOT(ISNUMBER(SEARCH(", DA/RA,",", "&amp;SUBSTITUTE(SUBSTITUTE(G12,", ",", ")," + ",", ")&amp;", "))),ISNUMBER(SEARCH(", DA/RA,",", "&amp;SUBSTITUTE(SUBSTITUTE(L12,", ",", ")," + ",", ")&amp;", "))),OR(NOT(ISNUMBER(SEARCH(", HA,",", "&amp;SUBSTITUTE(SUBSTITUTE(G12,", ",", ")," + ",", ")&amp;", "))),ISNUMBER(SEARCH(", HA,",", "&amp;SUBSTITUTE(SUBSTITUTE(L12,", ",", ")," + ",", ")&amp;", "))),OR(NOT(ISNUMBER(SEARCH(", LA,",", "&amp;SUBSTITUTE(SUBSTITUTE(G12,", ",", ")," + ",", ")&amp;", "))),ISNUMBER(SEARCH(", LA,",", "&amp;SUBSTITUTE(SUBSTITUTE(L12,", ",", ")," + ",", ")&amp;", "))),OR(NOT(ISNUMBER(SEARCH(", NGA,",", "&amp;SUBSTITUTE(SUBSTITUTE(G12,", ",", ")," + ",", ")&amp;", "))),ISNUMBER(SEARCH(", NGA,",", "&amp;SUBSTITUTE(SUBSTITUTE(L12,", ",", ")," + ",", ")&amp;", "))),OR(NOT(ISNUMBER(SEARCH(", PA,",", "&amp;SUBSTITUTE(SUBSTITUTE(G12,", ",", ")," + ",", ")&amp;", "))),ISNUMBER(SEARCH(", PA,",", "&amp;SUBSTITUTE(SUBSTITUTE(L12,", ",", ")," + ",", ")&amp;", "))),OR(NOT(ISNUMBER(SEARCH(", A,",", "&amp;SUBSTITUTE(SUBSTITUTE(L11,", ",", ")," + ",", ")&amp;", "))),ISNUMBER(SEARCH(", A,",", "&amp;SUBSTITUTE(SUBSTITUTE(L12,", ",", ")," + ",", ")&amp;", "))),OR(NOT(ISNUMBER(SEARCH(", E/I,",", "&amp;SUBSTITUTE(SUBSTITUTE(L11,", ",", ")," + ",", ")&amp;", "))),ISNUMBER(SEARCH(", E/I,",", "&amp;SUBSTITUTE(SUBSTITUTE(L12,", ",", ")," + ",", ")&amp;", "))),OR(NOT(ISNUMBER(SEARCH(", BA,",", "&amp;SUBSTITUTE(SUBSTITUTE(L11,", ",", ")," + ",", ")&amp;", "))),ISNUMBER(SEARCH(", BA,",", "&amp;SUBSTITUTE(SUBSTITUTE(L12,", ",", ")," + ",", ")&amp;", "))),OR(NOT(ISNUMBER(SEARCH(", MA,",", "&amp;SUBSTITUTE(SUBSTITUTE(L11,", ",", ")," + ",", ")&amp;", "))),ISNUMBER(SEARCH(", MA,",", "&amp;SUBSTITUTE(SUBSTITUTE(L12,", ",", ")," + ",", ")&amp;", "))),OR(NOT(ISNUMBER(SEARCH(", NA,",", "&amp;SUBSTITUTE(SUBSTITUTE(L11,", ",", ")," + ",", ")&amp;", "))),ISNUMBER(SEARCH(", NA,",", "&amp;SUBSTITUTE(SUBSTITUTE(L12,", ",", ")," + ",", ")&amp;", "))),OR(NOT(ISNUMBER(SEARCH(", TA,",", "&amp;SUBSTITUTE(SUBSTITUTE(L11,", ",", ")," + ",", ")&amp;", "))),ISNUMBER(SEARCH(", TA,",", "&amp;SUBSTITUTE(SUBSTITUTE(L12,", ",", ")," + ",", ")&amp;", "))),OR(NOT(ISNUMBER(SEARCH(", O/U,",", "&amp;SUBSTITUTE(SUBSTITUTE(L11,", ",", ")," + ",", ")&amp;", "))),ISNUMBER(SEARCH(", O/U,",", "&amp;SUBSTITUTE(SUBSTITUTE(L12,", ",", ")," + ",", ")&amp;", "))),OR(NOT(ISNUMBER(SEARCH(", KA,",", "&amp;SUBSTITUTE(SUBSTITUTE(L11,", ",", ")," + ",", ")&amp;", "))),ISNUMBER(SEARCH(", KA,",", "&amp;SUBSTITUTE(SUBSTITUTE(L12,", ",", ")," + ",", ")&amp;", "))),OR(NOT(ISNUMBER(SEARCH(", GA,",", "&amp;SUBSTITUTE(SUBSTITUTE(L11,", ",", ")," + ",", ")&amp;", "))),ISNUMBER(SEARCH(", GA,",", "&amp;SUBSTITUTE(SUBSTITUTE(L12,", ",", ")," + ",", ")&amp;", "))),OR(NOT(ISNUMBER(SEARCH(", SA,",", "&amp;SUBSTITUTE(SUBSTITUTE(L11,", ",", ")," + ",", ")&amp;", "))),ISNUMBER(SEARCH(", SA,",", "&amp;SUBSTITUTE(SUBSTITUTE(L12,", ",", ")," + ",", ")&amp;", "))),OR(NOT(ISNUMBER(SEARCH(", WA,",", "&amp;SUBSTITUTE(SUBSTITUTE(L11,", ",", ")," + ",", ")&amp;", "))),ISNUMBER(SEARCH(", WA,",", "&amp;SUBSTITUTE(SUBSTITUTE(L12,", ",", ")," + ",", ")&amp;", "))),OR(NOT(ISNUMBER(SEARCH(", YA,",", "&amp;SUBSTITUTE(SUBSTITUTE(L11,", ",", ")," + ",", ")&amp;", "))),ISNUMBER(SEARCH(", YA,",", "&amp;SUBSTITUTE(SUBSTITUTE(L12,", ",", ")," + ",", ")&amp;", "))),OR(NOT(ISNUMBER(SEARCH(", DA/RA,",", "&amp;SUBSTITUTE(SUBSTITUTE(L11,", ",", ")," + ",", ")&amp;", "))),ISNUMBER(SEARCH(", DA/RA,",", "&amp;SUBSTITUTE(SUBSTITUTE(L12,", ",", ")," + ",", ")&amp;", "))),OR(NOT(ISNUMBER(SEARCH(", HA,",", "&amp;SUBSTITUTE(SUBSTITUTE(L11,", ",", ")," + ",", ")&amp;", "))),ISNUMBER(SEARCH(", HA,",", "&amp;SUBSTITUTE(SUBSTITUTE(L12,", ",", ")," + ",", ")&amp;", "))),OR(NOT(ISNUMBER(SEARCH(", LA,",", "&amp;SUBSTITUTE(SUBSTITUTE(L11,", ",", ")," + ",", ")&amp;", "))),ISNUMBER(SEARCH(", LA,",", "&amp;SUBSTITUTE(SUBSTITUTE(L12,", ",", ")," + ",", ")&amp;", "))),OR(NOT(ISNUMBER(SEARCH(", NGA,",", "&amp;SUBSTITUTE(SUBSTITUTE(L11,", ",", ")," + ",", ")&amp;", "))),ISNUMBER(SEARCH(", NGA,",", "&amp;SUBSTITUTE(SUBSTITUTE(L12,", ",", ")," + ",", ")&amp;", "))),OR(NOT(ISNUMBER(SEARCH(", PA,",", "&amp;SUBSTITUTE(SUBSTITUTE(L11,", ",", ")," + ",", ")&amp;", "))),ISNUMBER(SEARCH(", PA,",", "&amp;SUBSTITUTE(SUBSTITUTE(L12,", ",", ")," + ",", ")&amp;", ")))),"PASS","FAIL")</x:f>
        <x:v>PASS</x:v>
      </x:c>
      <x:c r="N12" s="47" t="str">
        <x:v>Intentional repeat</x:v>
      </x:c>
      <x:c r="O12" s="47" t="str">
        <x:v>L2-S1</x:v>
      </x:c>
      <x:c r="P12" s="47" t="str">
        <x:v>None</x:v>
      </x:c>
      <x:c r="Q12" s="47" t="str">
        <x:f>IF(OR(ISNUMBER(SEARCH("kudlit",LOWER(E12))),ISNUMBER(SEARCH("ᜒ",E12)),ISNUMBER(SEARCH("ᜓ",E12))),"Yes","No")</x:f>
        <x:v>No</x:v>
      </x:c>
      <x:c r="R12" s="47" t="str">
        <x:f>IF(OR(ISNUMBER(SEARCH("BE",E12)),ISNUMBER(SEARCH("BI",E12)),ISNUMBER(SEARCH("BO",E12)),ISNUMBER(SEARCH("BU",E12)),ISNUMBER(SEARCH("DE",E12)),ISNUMBER(SEARCH("DI",E12)),ISNUMBER(SEARCH("DO",E12)),ISNUMBER(SEARCH("DU",E12)),ISNUMBER(SEARCH("GE",E12)),ISNUMBER(SEARCH("GI",E12)),ISNUMBER(SEARCH("GO",E12)),ISNUMBER(SEARCH("GU",E12)),ISNUMBER(SEARCH("HE",E12)),ISNUMBER(SEARCH("HI",E12)),ISNUMBER(SEARCH("HO",E12)),ISNUMBER(SEARCH("HU",E12)),ISNUMBER(SEARCH("KE",E12)),ISNUMBER(SEARCH("KI",E12)),ISNUMBER(SEARCH("KO",E12)),ISNUMBER(SEARCH("KU",E12)),ISNUMBER(SEARCH("LE",E12)),ISNUMBER(SEARCH("LI",E12)),ISNUMBER(SEARCH("LO",E12)),ISNUMBER(SEARCH("LU",E12)),ISNUMBER(SEARCH("ME",E12)),ISNUMBER(SEARCH("MI",E12)),ISNUMBER(SEARCH("MO",E12)),ISNUMBER(SEARCH("MU",E12)),ISNUMBER(SEARCH("NE",E12)),ISNUMBER(SEARCH("NI",E12)),ISNUMBER(SEARCH("NO",E12)),ISNUMBER(SEARCH("NU",E12)),ISNUMBER(SEARCH("PE",E12)),ISNUMBER(SEARCH("PI",E12)),ISNUMBER(SEARCH("PO",E12)),ISNUMBER(SEARCH("PU",E12)),ISNUMBER(SEARCH("RE",E12)),ISNUMBER(SEARCH("RI",E12)),ISNUMBER(SEARCH("RO",E12)),ISNUMBER(SEARCH("RU",E12)),ISNUMBER(SEARCH("SE",E12)),ISNUMBER(SEARCH("SI",E12)),ISNUMBER(SEARCH("SO",E12)),ISNUMBER(SEARCH("SU",E12)),ISNUMBER(SEARCH("TE",E12)),ISNUMBER(SEARCH("TI",E12)),ISNUMBER(SEARCH("TO",E12)),ISNUMBER(SEARCH("TU",E12)),ISNUMBER(SEARCH("WE",E12)),ISNUMBER(SEARCH("WI",E12)),ISNUMBER(SEARCH("WO",E12)),ISNUMBER(SEARCH("WU",E12)),ISNUMBER(SEARCH("YE",E12)),ISNUMBER(SEARCH("YI",E12)),ISNUMBER(SEARCH("YO",E12)),ISNUMBER(SEARCH("YU",E12))),"Yes","No")</x:f>
        <x:v>No</x:v>
      </x:c>
      <x:c r="S12" s="47" t="str">
        <x:v>Era 1 - Ugat!D17</x:v>
      </x:c>
      <x:c r="T12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12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12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12," + "))=COUNTA(TEXTSPLIT(G12," + "))),"PASS","FAIL")</x:f>
        <x:v>PASS</x:v>
      </x:c>
      <x:c r="U12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12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"&amp;SUBSTITUTE(SUBSTITUTE(G12,", ",", ")," + ",", ")&amp;", "))),AND('Character Matrix'!$J$8&lt;&gt;"",'Character Matrix'!$Q$8&lt;&gt;"Missing",'Character Matrix'!$Q$8&lt;&gt;"Conflicting")),OR(NOT(ISNUMBER(SEARCH(", E/I,",", "&amp;SUBSTITUTE(SUBSTITUTE(G12,", ",", ")," + ",", ")&amp;", "))),AND('Character Matrix'!$J$9&lt;&gt;"",'Character Matrix'!$Q$9&lt;&gt;"Missing",'Character Matrix'!$Q$9&lt;&gt;"Conflicting")),OR(NOT(ISNUMBER(SEARCH(", BA,",", "&amp;SUBSTITUTE(SUBSTITUTE(G12,", ",", ")," + ",", ")&amp;", "))),AND('Character Matrix'!$J$10&lt;&gt;"",'Character Matrix'!$Q$10&lt;&gt;"Missing",'Character Matrix'!$Q$10&lt;&gt;"Conflicting")),OR(NOT(ISNUMBER(SEARCH(", MA,",", "&amp;SUBSTITUTE(SUBSTITUTE(G12,", ",", ")," + ",", ")&amp;", "))),AND('Character Matrix'!$J$11&lt;&gt;"",'Character Matrix'!$Q$11&lt;&gt;"Missing",'Character Matrix'!$Q$11&lt;&gt;"Conflicting")),OR(NOT(ISNUMBER(SEARCH(", NA,",", "&amp;SUBSTITUTE(SUBSTITUTE(G12,", ",", ")," + ",", ")&amp;", "))),AND('Character Matrix'!$J$12&lt;&gt;"",'Character Matrix'!$Q$12&lt;&gt;"Missing",'Character Matrix'!$Q$12&lt;&gt;"Conflicting")),OR(NOT(ISNUMBER(SEARCH(", TA,",", "&amp;SUBSTITUTE(SUBSTITUTE(G12,", ",", ")," + ",", ")&amp;", "))),AND('Character Matrix'!$J$13&lt;&gt;"",'Character Matrix'!$Q$13&lt;&gt;"Missing",'Character Matrix'!$Q$13&lt;&gt;"Conflicting")),OR(NOT(ISNUMBER(SEARCH(", O/U,",", "&amp;SUBSTITUTE(SUBSTITUTE(G12,", ",", ")," + ",", ")&amp;", "))),AND('Character Matrix'!$J$14&lt;&gt;"",'Character Matrix'!$Q$14&lt;&gt;"Missing",'Character Matrix'!$Q$14&lt;&gt;"Conflicting")),OR(NOT(ISNUMBER(SEARCH(", KA,",", "&amp;SUBSTITUTE(SUBSTITUTE(G12,", ",", ")," + ",", ")&amp;", "))),AND('Character Matrix'!$J$15&lt;&gt;"",'Character Matrix'!$Q$15&lt;&gt;"Missing",'Character Matrix'!$Q$15&lt;&gt;"Conflicting")),OR(NOT(ISNUMBER(SEARCH(", GA,",", "&amp;SUBSTITUTE(SUBSTITUTE(G12,", ",", ")," + ",", ")&amp;", "))),AND('Character Matrix'!$J$16&lt;&gt;"",'Character Matrix'!$Q$16&lt;&gt;"Missing",'Character Matrix'!$Q$16&lt;&gt;"Conflicting")),OR(NOT(ISNUMBER(SEARCH(", SA,",", "&amp;SUBSTITUTE(SUBSTITUTE(G12,", ",", ")," + ",", ")&amp;", "))),AND('Character Matrix'!$J$17&lt;&gt;"",'Character Matrix'!$Q$17&lt;&gt;"Missing",'Character Matrix'!$Q$17&lt;&gt;"Conflicting")),OR(NOT(ISNUMBER(SEARCH(", WA,",", "&amp;SUBSTITUTE(SUBSTITUTE(G12,", ",", ")," + ",", ")&amp;", "))),AND('Character Matrix'!$J$18&lt;&gt;"",'Character Matrix'!$Q$18&lt;&gt;"Missing",'Character Matrix'!$Q$18&lt;&gt;"Conflicting")),OR(NOT(ISNUMBER(SEARCH(", YA,",", "&amp;SUBSTITUTE(SUBSTITUTE(G12,", ",", ")," + ",", ")&amp;", "))),AND('Character Matrix'!$J$19&lt;&gt;"",'Character Matrix'!$Q$19&lt;&gt;"Missing",'Character Matrix'!$Q$19&lt;&gt;"Conflicting")),OR(NOT(ISNUMBER(SEARCH(", DA/RA,",", "&amp;SUBSTITUTE(SUBSTITUTE(G12,", ",", ")," + ",", ")&amp;", "))),AND('Character Matrix'!$J$20&lt;&gt;"",'Character Matrix'!$Q$20&lt;&gt;"Missing",'Character Matrix'!$Q$20&lt;&gt;"Conflicting")),OR(NOT(ISNUMBER(SEARCH(", HA,",", "&amp;SUBSTITUTE(SUBSTITUTE(G12,", ",", ")," + ",", ")&amp;", "))),AND('Character Matrix'!$J$21&lt;&gt;"",'Character Matrix'!$Q$21&lt;&gt;"Missing",'Character Matrix'!$Q$21&lt;&gt;"Conflicting")),OR(NOT(ISNUMBER(SEARCH(", LA,",", "&amp;SUBSTITUTE(SUBSTITUTE(G12,", ",", ")," + ",", ")&amp;", "))),AND('Character Matrix'!$J$22&lt;&gt;"",'Character Matrix'!$Q$22&lt;&gt;"Missing",'Character Matrix'!$Q$22&lt;&gt;"Conflicting")),OR(NOT(ISNUMBER(SEARCH(", NGA,",", "&amp;SUBSTITUTE(SUBSTITUTE(G12,", ",", ")," + ",", ")&amp;", "))),AND('Character Matrix'!$J$23&lt;&gt;"",'Character Matrix'!$Q$23&lt;&gt;"Missing",'Character Matrix'!$Q$23&lt;&gt;"Conflicting")),OR(NOT(ISNUMBER(SEARCH(", PA,",", "&amp;SUBSTITUTE(SUBSTITUTE(G12,", ",", ")," + ",", ")&amp;", "))),AND('Character Matrix'!$J$24&lt;&gt;"",'Character Matrix'!$Q$24&lt;&gt;"Missing",'Character Matrix'!$Q$24&lt;&gt;"Conflicting"))),"PASS","FAIL")</x:f>
        <x:v>PASS</x:v>
      </x:c>
      <x:c r="V12" s="48" t="str">
        <x:f>IF(AND(M12="PASS",Q12="No",R12="No",T12="PASS",U12="PASS",OR(K12="N/A",K12="PASS")),"PASS","FAIL")</x:f>
        <x:v>PASS</x:v>
      </x:c>
    </x:row>
    <x:row r="13" ht="52" customHeight="1">
      <x:c r="A13" s="46" t="n">
        <x:v>3</x:v>
      </x:c>
      <x:c r="B13" s="47" t="str">
        <x:v>Ugat</x:v>
      </x:c>
      <x:c r="C13" s="47" t="n">
        <x:v>3</x:v>
      </x:c>
      <x:c r="D13" s="47" t="n">
        <x:v>2</x:v>
      </x:c>
      <x:c r="E13" s="47" t="str">
        <x:v>TAMA</x:v>
      </x:c>
      <x:c r="F13" s="47" t="str">
        <x:v>TA + MA</x:v>
      </x:c>
      <x:c r="G13" s="47" t="str">
        <x:v>TA + MA</x:v>
      </x:c>
      <x:c r="H13" s="47" t="str">
        <x:v>MA</x:v>
      </x:c>
      <x:c r="I13" s="47" t="str">
        <x:v>MA</x:v>
      </x:c>
      <x:c r="J13" s="47" t="str">
        <x:v>MA</x:v>
      </x:c>
      <x:c r="K13" s="47" t="str">
        <x:f>IF(D13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13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13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13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13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PASS</x:v>
      </x:c>
      <x:c r="L13" s="47" t="str">
        <x:v>A, E/I, BA, MA, NA, TA</x:v>
      </x:c>
      <x:c r="M13" s="47" t="str">
        <x:f>IF(AND(LEN(L13)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13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13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13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"&amp;SUBSTITUTE(SUBSTITUTE(G13,", ",", ")," + ",", ")&amp;", "))),ISNUMBER(SEARCH(", A,",", "&amp;SUBSTITUTE(SUBSTITUTE(L13,", ",", ")," + ",", ")&amp;", "))),OR(NOT(ISNUMBER(SEARCH(", E/I,",", "&amp;SUBSTITUTE(SUBSTITUTE(G13,", ",", ")," + ",", ")&amp;", "))),ISNUMBER(SEARCH(", E/I,",", "&amp;SUBSTITUTE(SUBSTITUTE(L13,", ",", ")," + ",", ")&amp;", "))),OR(NOT(ISNUMBER(SEARCH(", BA,",", "&amp;SUBSTITUTE(SUBSTITUTE(G13,", ",", ")," + ",", ")&amp;", "))),ISNUMBER(SEARCH(", BA,",", "&amp;SUBSTITUTE(SUBSTITUTE(L13,", ",", ")," + ",", ")&amp;", "))),OR(NOT(ISNUMBER(SEARCH(", MA,",", "&amp;SUBSTITUTE(SUBSTITUTE(G13,", ",", ")," + ",", ")&amp;", "))),ISNUMBER(SEARCH(", MA,",", "&amp;SUBSTITUTE(SUBSTITUTE(L13,", ",", ")," + ",", ")&amp;", "))),OR(NOT(ISNUMBER(SEARCH(", NA,",", "&amp;SUBSTITUTE(SUBSTITUTE(G13,", ",", ")," + ",", ")&amp;", "))),ISNUMBER(SEARCH(", NA,",", "&amp;SUBSTITUTE(SUBSTITUTE(L13,", ",", ")," + ",", ")&amp;", "))),OR(NOT(ISNUMBER(SEARCH(", TA,",", "&amp;SUBSTITUTE(SUBSTITUTE(G13,", ",", ")," + ",", ")&amp;", "))),ISNUMBER(SEARCH(", TA,",", "&amp;SUBSTITUTE(SUBSTITUTE(L13,", ",", ")," + ",", ")&amp;", "))),OR(NOT(ISNUMBER(SEARCH(", O/U,",", "&amp;SUBSTITUTE(SUBSTITUTE(G13,", ",", ")," + ",", ")&amp;", "))),ISNUMBER(SEARCH(", O/U,",", "&amp;SUBSTITUTE(SUBSTITUTE(L13,", ",", ")," + ",", ")&amp;", "))),OR(NOT(ISNUMBER(SEARCH(", KA,",", "&amp;SUBSTITUTE(SUBSTITUTE(G13,", ",", ")," + ",", ")&amp;", "))),ISNUMBER(SEARCH(", KA,",", "&amp;SUBSTITUTE(SUBSTITUTE(L13,", ",", ")," + ",", ")&amp;", "))),OR(NOT(ISNUMBER(SEARCH(", GA,",", "&amp;SUBSTITUTE(SUBSTITUTE(G13,", ",", ")," + ",", ")&amp;", "))),ISNUMBER(SEARCH(", GA,",", "&amp;SUBSTITUTE(SUBSTITUTE(L13,", ",", ")," + ",", ")&amp;", "))),OR(NOT(ISNUMBER(SEARCH(", SA,",", "&amp;SUBSTITUTE(SUBSTITUTE(G13,", ",", ")," + ",", ")&amp;", "))),ISNUMBER(SEARCH(", SA,",", "&amp;SUBSTITUTE(SUBSTITUTE(L13,", ",", ")," + ",", ")&amp;", "))),OR(NOT(ISNUMBER(SEARCH(", WA,",", "&amp;SUBSTITUTE(SUBSTITUTE(G13,", ",", ")," + ",", ")&amp;", "))),ISNUMBER(SEARCH(", WA,",", "&amp;SUBSTITUTE(SUBSTITUTE(L13,", ",", ")," + ",", ")&amp;", "))),OR(NOT(ISNUMBER(SEARCH(", YA,",", "&amp;SUBSTITUTE(SUBSTITUTE(G13,", ",", ")," + ",", ")&amp;", "))),ISNUMBER(SEARCH(", YA,",", "&amp;SUBSTITUTE(SUBSTITUTE(L13,", ",", ")," + ",", ")&amp;", "))),OR(NOT(ISNUMBER(SEARCH(", DA/RA,",", "&amp;SUBSTITUTE(SUBSTITUTE(G13,", ",", ")," + ",", ")&amp;", "))),ISNUMBER(SEARCH(", DA/RA,",", "&amp;SUBSTITUTE(SUBSTITUTE(L13,", ",", ")," + ",", ")&amp;", "))),OR(NOT(ISNUMBER(SEARCH(", HA,",", "&amp;SUBSTITUTE(SUBSTITUTE(G13,", ",", ")," + ",", ")&amp;", "))),ISNUMBER(SEARCH(", HA,",", "&amp;SUBSTITUTE(SUBSTITUTE(L13,", ",", ")," + ",", ")&amp;", "))),OR(NOT(ISNUMBER(SEARCH(", LA,",", "&amp;SUBSTITUTE(SUBSTITUTE(G13,", ",", ")," + ",", ")&amp;", "))),ISNUMBER(SEARCH(", LA,",", "&amp;SUBSTITUTE(SUBSTITUTE(L13,", ",", ")," + ",", ")&amp;", "))),OR(NOT(ISNUMBER(SEARCH(", NGA,",", "&amp;SUBSTITUTE(SUBSTITUTE(G13,", ",", ")," + ",", ")&amp;", "))),ISNUMBER(SEARCH(", NGA,",", "&amp;SUBSTITUTE(SUBSTITUTE(L13,", ",", ")," + ",", ")&amp;", "))),OR(NOT(ISNUMBER(SEARCH(", PA,",", "&amp;SUBSTITUTE(SUBSTITUTE(G13,", ",", ")," + ",", ")&amp;", "))),ISNUMBER(SEARCH(", PA,",", "&amp;SUBSTITUTE(SUBSTITUTE(L13,", ",", ")," + ",", ")&amp;", "))),OR(NOT(ISNUMBER(SEARCH(", A,",", "&amp;SUBSTITUTE(SUBSTITUTE(L12,", ",", ")," + ",", ")&amp;", "))),ISNUMBER(SEARCH(", A,",", "&amp;SUBSTITUTE(SUBSTITUTE(L13,", ",", ")," + ",", ")&amp;", "))),OR(NOT(ISNUMBER(SEARCH(", E/I,",", "&amp;SUBSTITUTE(SUBSTITUTE(L12,", ",", ")," + ",", ")&amp;", "))),ISNUMBER(SEARCH(", E/I,",", "&amp;SUBSTITUTE(SUBSTITUTE(L13,", ",", ")," + ",", ")&amp;", "))),OR(NOT(ISNUMBER(SEARCH(", BA,",", "&amp;SUBSTITUTE(SUBSTITUTE(L12,", ",", ")," + ",", ")&amp;", "))),ISNUMBER(SEARCH(", BA,",", "&amp;SUBSTITUTE(SUBSTITUTE(L13,", ",", ")," + ",", ")&amp;", "))),OR(NOT(ISNUMBER(SEARCH(", MA,",", "&amp;SUBSTITUTE(SUBSTITUTE(L12,", ",", ")," + ",", ")&amp;", "))),ISNUMBER(SEARCH(", MA,",", "&amp;SUBSTITUTE(SUBSTITUTE(L13,", ",", ")," + ",", ")&amp;", "))),OR(NOT(ISNUMBER(SEARCH(", NA,",", "&amp;SUBSTITUTE(SUBSTITUTE(L12,", ",", ")," + ",", ")&amp;", "))),ISNUMBER(SEARCH(", NA,",", "&amp;SUBSTITUTE(SUBSTITUTE(L13,", ",", ")," + ",", ")&amp;", "))),OR(NOT(ISNUMBER(SEARCH(", TA,",", "&amp;SUBSTITUTE(SUBSTITUTE(L12,", ",", ")," + ",", ")&amp;", "))),ISNUMBER(SEARCH(", TA,",", "&amp;SUBSTITUTE(SUBSTITUTE(L13,", ",", ")," + ",", ")&amp;", "))),OR(NOT(ISNUMBER(SEARCH(", O/U,",", "&amp;SUBSTITUTE(SUBSTITUTE(L12,", ",", ")," + ",", ")&amp;", "))),ISNUMBER(SEARCH(", O/U,",", "&amp;SUBSTITUTE(SUBSTITUTE(L13,", ",", ")," + ",", ")&amp;", "))),OR(NOT(ISNUMBER(SEARCH(", KA,",", "&amp;SUBSTITUTE(SUBSTITUTE(L12,", ",", ")," + ",", ")&amp;", "))),ISNUMBER(SEARCH(", KA,",", "&amp;SUBSTITUTE(SUBSTITUTE(L13,", ",", ")," + ",", ")&amp;", "))),OR(NOT(ISNUMBER(SEARCH(", GA,",", "&amp;SUBSTITUTE(SUBSTITUTE(L12,", ",", ")," + ",", ")&amp;", "))),ISNUMBER(SEARCH(", GA,",", "&amp;SUBSTITUTE(SUBSTITUTE(L13,", ",", ")," + ",", ")&amp;", "))),OR(NOT(ISNUMBER(SEARCH(", SA,",", "&amp;SUBSTITUTE(SUBSTITUTE(L12,", ",", ")," + ",", ")&amp;", "))),ISNUMBER(SEARCH(", SA,",", "&amp;SUBSTITUTE(SUBSTITUTE(L13,", ",", ")," + ",", ")&amp;", "))),OR(NOT(ISNUMBER(SEARCH(", WA,",", "&amp;SUBSTITUTE(SUBSTITUTE(L12,", ",", ")," + ",", ")&amp;", "))),ISNUMBER(SEARCH(", WA,",", "&amp;SUBSTITUTE(SUBSTITUTE(L13,", ",", ")," + ",", ")&amp;", "))),OR(NOT(ISNUMBER(SEARCH(", YA,",", "&amp;SUBSTITUTE(SUBSTITUTE(L12,", ",", ")," + ",", ")&amp;", "))),ISNUMBER(SEARCH(", YA,",", "&amp;SUBSTITUTE(SUBSTITUTE(L13,", ",", ")," + ",", ")&amp;", "))),OR(NOT(ISNUMBER(SEARCH(", DA/RA,",", "&amp;SUBSTITUTE(SUBSTITUTE(L12,", ",", ")," + ",", ")&amp;", "))),ISNUMBER(SEARCH(", DA/RA,",", "&amp;SUBSTITUTE(SUBSTITUTE(L13,", ",", ")," + ",", ")&amp;", "))),OR(NOT(ISNUMBER(SEARCH(", HA,",", "&amp;SUBSTITUTE(SUBSTITUTE(L12,", ",", ")," + ",", ")&amp;", "))),ISNUMBER(SEARCH(", HA,",", "&amp;SUBSTITUTE(SUBSTITUTE(L13,", ",", ")," + ",", ")&amp;", "))),OR(NOT(ISNUMBER(SEARCH(", LA,",", "&amp;SUBSTITUTE(SUBSTITUTE(L12,", ",", ")," + ",", ")&amp;", "))),ISNUMBER(SEARCH(", LA,",", "&amp;SUBSTITUTE(SUBSTITUTE(L13,", ",", ")," + ",", ")&amp;", "))),OR(NOT(ISNUMBER(SEARCH(", NGA,",", "&amp;SUBSTITUTE(SUBSTITUTE(L12,", ",", ")," + ",", ")&amp;", "))),ISNUMBER(SEARCH(", NGA,",", "&amp;SUBSTITUTE(SUBSTITUTE(L13,", ",", ")," + ",", ")&amp;", "))),OR(NOT(ISNUMBER(SEARCH(", PA,",", "&amp;SUBSTITUTE(SUBSTITUTE(L12,", ",", ")," + ",", ")&amp;", "))),ISNUMBER(SEARCH(", PA,",", "&amp;SUBSTITUTE(SUBSTITUTE(L13,", ",", ")," + ",", ")&amp;", ")))),"PASS","FAIL")</x:f>
        <x:v>PASS</x:v>
      </x:c>
      <x:c r="N13" s="47" t="str">
        <x:v>Original</x:v>
      </x:c>
      <x:c r="O13" s="47" t="str"/>
      <x:c r="P13" s="47" t="str">
        <x:v>None</x:v>
      </x:c>
      <x:c r="Q13" s="47" t="str">
        <x:f>IF(OR(ISNUMBER(SEARCH("kudlit",LOWER(E13))),ISNUMBER(SEARCH("ᜒ",E13)),ISNUMBER(SEARCH("ᜓ",E13))),"Yes","No")</x:f>
        <x:v>No</x:v>
      </x:c>
      <x:c r="R13" s="47" t="str">
        <x:f>IF(OR(ISNUMBER(SEARCH("BE",E13)),ISNUMBER(SEARCH("BI",E13)),ISNUMBER(SEARCH("BO",E13)),ISNUMBER(SEARCH("BU",E13)),ISNUMBER(SEARCH("DE",E13)),ISNUMBER(SEARCH("DI",E13)),ISNUMBER(SEARCH("DO",E13)),ISNUMBER(SEARCH("DU",E13)),ISNUMBER(SEARCH("GE",E13)),ISNUMBER(SEARCH("GI",E13)),ISNUMBER(SEARCH("GO",E13)),ISNUMBER(SEARCH("GU",E13)),ISNUMBER(SEARCH("HE",E13)),ISNUMBER(SEARCH("HI",E13)),ISNUMBER(SEARCH("HO",E13)),ISNUMBER(SEARCH("HU",E13)),ISNUMBER(SEARCH("KE",E13)),ISNUMBER(SEARCH("KI",E13)),ISNUMBER(SEARCH("KO",E13)),ISNUMBER(SEARCH("KU",E13)),ISNUMBER(SEARCH("LE",E13)),ISNUMBER(SEARCH("LI",E13)),ISNUMBER(SEARCH("LO",E13)),ISNUMBER(SEARCH("LU",E13)),ISNUMBER(SEARCH("ME",E13)),ISNUMBER(SEARCH("MI",E13)),ISNUMBER(SEARCH("MO",E13)),ISNUMBER(SEARCH("MU",E13)),ISNUMBER(SEARCH("NE",E13)),ISNUMBER(SEARCH("NI",E13)),ISNUMBER(SEARCH("NO",E13)),ISNUMBER(SEARCH("NU",E13)),ISNUMBER(SEARCH("PE",E13)),ISNUMBER(SEARCH("PI",E13)),ISNUMBER(SEARCH("PO",E13)),ISNUMBER(SEARCH("PU",E13)),ISNUMBER(SEARCH("RE",E13)),ISNUMBER(SEARCH("RI",E13)),ISNUMBER(SEARCH("RO",E13)),ISNUMBER(SEARCH("RU",E13)),ISNUMBER(SEARCH("SE",E13)),ISNUMBER(SEARCH("SI",E13)),ISNUMBER(SEARCH("SO",E13)),ISNUMBER(SEARCH("SU",E13)),ISNUMBER(SEARCH("TE",E13)),ISNUMBER(SEARCH("TI",E13)),ISNUMBER(SEARCH("TO",E13)),ISNUMBER(SEARCH("TU",E13)),ISNUMBER(SEARCH("WE",E13)),ISNUMBER(SEARCH("WI",E13)),ISNUMBER(SEARCH("WO",E13)),ISNUMBER(SEARCH("WU",E13)),ISNUMBER(SEARCH("YE",E13)),ISNUMBER(SEARCH("YI",E13)),ISNUMBER(SEARCH("YO",E13)),ISNUMBER(SEARCH("YU",E13))),"Yes","No")</x:f>
        <x:v>No</x:v>
      </x:c>
      <x:c r="S13" s="47" t="str">
        <x:v>Era 1 - Ugat!D17</x:v>
      </x:c>
      <x:c r="T13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13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13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13," + "))=COUNTA(TEXTSPLIT(G13," + "))),"PASS","FAIL")</x:f>
        <x:v>PASS</x:v>
      </x:c>
      <x:c r="U13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13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"&amp;SUBSTITUTE(SUBSTITUTE(G13,", ",", ")," + ",", ")&amp;", "))),AND('Character Matrix'!$J$8&lt;&gt;"",'Character Matrix'!$Q$8&lt;&gt;"Missing",'Character Matrix'!$Q$8&lt;&gt;"Conflicting")),OR(NOT(ISNUMBER(SEARCH(", E/I,",", "&amp;SUBSTITUTE(SUBSTITUTE(G13,", ",", ")," + ",", ")&amp;", "))),AND('Character Matrix'!$J$9&lt;&gt;"",'Character Matrix'!$Q$9&lt;&gt;"Missing",'Character Matrix'!$Q$9&lt;&gt;"Conflicting")),OR(NOT(ISNUMBER(SEARCH(", BA,",", "&amp;SUBSTITUTE(SUBSTITUTE(G13,", ",", ")," + ",", ")&amp;", "))),AND('Character Matrix'!$J$10&lt;&gt;"",'Character Matrix'!$Q$10&lt;&gt;"Missing",'Character Matrix'!$Q$10&lt;&gt;"Conflicting")),OR(NOT(ISNUMBER(SEARCH(", MA,",", "&amp;SUBSTITUTE(SUBSTITUTE(G13,", ",", ")," + ",", ")&amp;", "))),AND('Character Matrix'!$J$11&lt;&gt;"",'Character Matrix'!$Q$11&lt;&gt;"Missing",'Character Matrix'!$Q$11&lt;&gt;"Conflicting")),OR(NOT(ISNUMBER(SEARCH(", NA,",", "&amp;SUBSTITUTE(SUBSTITUTE(G13,", ",", ")," + ",", ")&amp;", "))),AND('Character Matrix'!$J$12&lt;&gt;"",'Character Matrix'!$Q$12&lt;&gt;"Missing",'Character Matrix'!$Q$12&lt;&gt;"Conflicting")),OR(NOT(ISNUMBER(SEARCH(", TA,",", "&amp;SUBSTITUTE(SUBSTITUTE(G13,", ",", ")," + ",", ")&amp;", "))),AND('Character Matrix'!$J$13&lt;&gt;"",'Character Matrix'!$Q$13&lt;&gt;"Missing",'Character Matrix'!$Q$13&lt;&gt;"Conflicting")),OR(NOT(ISNUMBER(SEARCH(", O/U,",", "&amp;SUBSTITUTE(SUBSTITUTE(G13,", ",", ")," + ",", ")&amp;", "))),AND('Character Matrix'!$J$14&lt;&gt;"",'Character Matrix'!$Q$14&lt;&gt;"Missing",'Character Matrix'!$Q$14&lt;&gt;"Conflicting")),OR(NOT(ISNUMBER(SEARCH(", KA,",", "&amp;SUBSTITUTE(SUBSTITUTE(G13,", ",", ")," + ",", ")&amp;", "))),AND('Character Matrix'!$J$15&lt;&gt;"",'Character Matrix'!$Q$15&lt;&gt;"Missing",'Character Matrix'!$Q$15&lt;&gt;"Conflicting")),OR(NOT(ISNUMBER(SEARCH(", GA,",", "&amp;SUBSTITUTE(SUBSTITUTE(G13,", ",", ")," + ",", ")&amp;", "))),AND('Character Matrix'!$J$16&lt;&gt;"",'Character Matrix'!$Q$16&lt;&gt;"Missing",'Character Matrix'!$Q$16&lt;&gt;"Conflicting")),OR(NOT(ISNUMBER(SEARCH(", SA,",", "&amp;SUBSTITUTE(SUBSTITUTE(G13,", ",", ")," + ",", ")&amp;", "))),AND('Character Matrix'!$J$17&lt;&gt;"",'Character Matrix'!$Q$17&lt;&gt;"Missing",'Character Matrix'!$Q$17&lt;&gt;"Conflicting")),OR(NOT(ISNUMBER(SEARCH(", WA,",", "&amp;SUBSTITUTE(SUBSTITUTE(G13,", ",", ")," + ",", ")&amp;", "))),AND('Character Matrix'!$J$18&lt;&gt;"",'Character Matrix'!$Q$18&lt;&gt;"Missing",'Character Matrix'!$Q$18&lt;&gt;"Conflicting")),OR(NOT(ISNUMBER(SEARCH(", YA,",", "&amp;SUBSTITUTE(SUBSTITUTE(G13,", ",", ")," + ",", ")&amp;", "))),AND('Character Matrix'!$J$19&lt;&gt;"",'Character Matrix'!$Q$19&lt;&gt;"Missing",'Character Matrix'!$Q$19&lt;&gt;"Conflicting")),OR(NOT(ISNUMBER(SEARCH(", DA/RA,",", "&amp;SUBSTITUTE(SUBSTITUTE(G13,", ",", ")," + ",", ")&amp;", "))),AND('Character Matrix'!$J$20&lt;&gt;"",'Character Matrix'!$Q$20&lt;&gt;"Missing",'Character Matrix'!$Q$20&lt;&gt;"Conflicting")),OR(NOT(ISNUMBER(SEARCH(", HA,",", "&amp;SUBSTITUTE(SUBSTITUTE(G13,", ",", ")," + ",", ")&amp;", "))),AND('Character Matrix'!$J$21&lt;&gt;"",'Character Matrix'!$Q$21&lt;&gt;"Missing",'Character Matrix'!$Q$21&lt;&gt;"Conflicting")),OR(NOT(ISNUMBER(SEARCH(", LA,",", "&amp;SUBSTITUTE(SUBSTITUTE(G13,", ",", ")," + ",", ")&amp;", "))),AND('Character Matrix'!$J$22&lt;&gt;"",'Character Matrix'!$Q$22&lt;&gt;"Missing",'Character Matrix'!$Q$22&lt;&gt;"Conflicting")),OR(NOT(ISNUMBER(SEARCH(", NGA,",", "&amp;SUBSTITUTE(SUBSTITUTE(G13,", ",", ")," + ",", ")&amp;", "))),AND('Character Matrix'!$J$23&lt;&gt;"",'Character Matrix'!$Q$23&lt;&gt;"Missing",'Character Matrix'!$Q$23&lt;&gt;"Conflicting")),OR(NOT(ISNUMBER(SEARCH(", PA,",", "&amp;SUBSTITUTE(SUBSTITUTE(G13,", ",", ")," + ",", ")&amp;", "))),AND('Character Matrix'!$J$24&lt;&gt;"",'Character Matrix'!$Q$24&lt;&gt;"Missing",'Character Matrix'!$Q$24&lt;&gt;"Conflicting"))),"PASS","FAIL")</x:f>
        <x:v>PASS</x:v>
      </x:c>
      <x:c r="V13" s="48" t="str">
        <x:f>IF(AND(M13="PASS",Q13="No",R13="No",T13="PASS",U13="PASS",OR(K13="N/A",K13="PASS")),"PASS","FAIL")</x:f>
        <x:v>PASS</x:v>
      </x:c>
    </x:row>
    <x:row r="14" ht="52" customHeight="1">
      <x:c r="A14" s="46" t="n">
        <x:v>4</x:v>
      </x:c>
      <x:c r="B14" s="47" t="str">
        <x:v>Ugat</x:v>
      </x:c>
      <x:c r="C14" s="47" t="n">
        <x:v>4</x:v>
      </x:c>
      <x:c r="D14" s="47" t="n">
        <x:v>1</x:v>
      </x:c>
      <x:c r="E14" s="47" t="str">
        <x:v>INA</x:v>
      </x:c>
      <x:c r="F14" s="47" t="str">
        <x:v>I + NA</x:v>
      </x:c>
      <x:c r="G14" s="47" t="str">
        <x:v>E/I + NA</x:v>
      </x:c>
      <x:c r="H14" s="47" t="str">
        <x:v>NA</x:v>
      </x:c>
      <x:c r="I14" s="47" t="str">
        <x:v>NA</x:v>
      </x:c>
      <x:c r="J14" s="47" t="str"/>
      <x:c r="K14" s="47" t="str">
        <x:f>IF(D14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14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14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14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14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N/A</x:v>
      </x:c>
      <x:c r="L14" s="47" t="str">
        <x:v>A, E/I, BA, MA, NA, TA</x:v>
      </x:c>
      <x:c r="M14" s="47" t="str">
        <x:f>IF(AND(LEN(L14)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14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14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14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"&amp;SUBSTITUTE(SUBSTITUTE(G14,", ",", ")," + ",", ")&amp;", "))),ISNUMBER(SEARCH(", A,",", "&amp;SUBSTITUTE(SUBSTITUTE(L14,", ",", ")," + ",", ")&amp;", "))),OR(NOT(ISNUMBER(SEARCH(", E/I,",", "&amp;SUBSTITUTE(SUBSTITUTE(G14,", ",", ")," + ",", ")&amp;", "))),ISNUMBER(SEARCH(", E/I,",", "&amp;SUBSTITUTE(SUBSTITUTE(L14,", ",", ")," + ",", ")&amp;", "))),OR(NOT(ISNUMBER(SEARCH(", BA,",", "&amp;SUBSTITUTE(SUBSTITUTE(G14,", ",", ")," + ",", ")&amp;", "))),ISNUMBER(SEARCH(", BA,",", "&amp;SUBSTITUTE(SUBSTITUTE(L14,", ",", ")," + ",", ")&amp;", "))),OR(NOT(ISNUMBER(SEARCH(", MA,",", "&amp;SUBSTITUTE(SUBSTITUTE(G14,", ",", ")," + ",", ")&amp;", "))),ISNUMBER(SEARCH(", MA,",", "&amp;SUBSTITUTE(SUBSTITUTE(L14,", ",", ")," + ",", ")&amp;", "))),OR(NOT(ISNUMBER(SEARCH(", NA,",", "&amp;SUBSTITUTE(SUBSTITUTE(G14,", ",", ")," + ",", ")&amp;", "))),ISNUMBER(SEARCH(", NA,",", "&amp;SUBSTITUTE(SUBSTITUTE(L14,", ",", ")," + ",", ")&amp;", "))),OR(NOT(ISNUMBER(SEARCH(", TA,",", "&amp;SUBSTITUTE(SUBSTITUTE(G14,", ",", ")," + ",", ")&amp;", "))),ISNUMBER(SEARCH(", TA,",", "&amp;SUBSTITUTE(SUBSTITUTE(L14,", ",", ")," + ",", ")&amp;", "))),OR(NOT(ISNUMBER(SEARCH(", O/U,",", "&amp;SUBSTITUTE(SUBSTITUTE(G14,", ",", ")," + ",", ")&amp;", "))),ISNUMBER(SEARCH(", O/U,",", "&amp;SUBSTITUTE(SUBSTITUTE(L14,", ",", ")," + ",", ")&amp;", "))),OR(NOT(ISNUMBER(SEARCH(", KA,",", "&amp;SUBSTITUTE(SUBSTITUTE(G14,", ",", ")," + ",", ")&amp;", "))),ISNUMBER(SEARCH(", KA,",", "&amp;SUBSTITUTE(SUBSTITUTE(L14,", ",", ")," + ",", ")&amp;", "))),OR(NOT(ISNUMBER(SEARCH(", GA,",", "&amp;SUBSTITUTE(SUBSTITUTE(G14,", ",", ")," + ",", ")&amp;", "))),ISNUMBER(SEARCH(", GA,",", "&amp;SUBSTITUTE(SUBSTITUTE(L14,", ",", ")," + ",", ")&amp;", "))),OR(NOT(ISNUMBER(SEARCH(", SA,",", "&amp;SUBSTITUTE(SUBSTITUTE(G14,", ",", ")," + ",", ")&amp;", "))),ISNUMBER(SEARCH(", SA,",", "&amp;SUBSTITUTE(SUBSTITUTE(L14,", ",", ")," + ",", ")&amp;", "))),OR(NOT(ISNUMBER(SEARCH(", WA,",", "&amp;SUBSTITUTE(SUBSTITUTE(G14,", ",", ")," + ",", ")&amp;", "))),ISNUMBER(SEARCH(", WA,",", "&amp;SUBSTITUTE(SUBSTITUTE(L14,", ",", ")," + ",", ")&amp;", "))),OR(NOT(ISNUMBER(SEARCH(", YA,",", "&amp;SUBSTITUTE(SUBSTITUTE(G14,", ",", ")," + ",", ")&amp;", "))),ISNUMBER(SEARCH(", YA,",", "&amp;SUBSTITUTE(SUBSTITUTE(L14,", ",", ")," + ",", ")&amp;", "))),OR(NOT(ISNUMBER(SEARCH(", DA/RA,",", "&amp;SUBSTITUTE(SUBSTITUTE(G14,", ",", ")," + ",", ")&amp;", "))),ISNUMBER(SEARCH(", DA/RA,",", "&amp;SUBSTITUTE(SUBSTITUTE(L14,", ",", ")," + ",", ")&amp;", "))),OR(NOT(ISNUMBER(SEARCH(", HA,",", "&amp;SUBSTITUTE(SUBSTITUTE(G14,", ",", ")," + ",", ")&amp;", "))),ISNUMBER(SEARCH(", HA,",", "&amp;SUBSTITUTE(SUBSTITUTE(L14,", ",", ")," + ",", ")&amp;", "))),OR(NOT(ISNUMBER(SEARCH(", LA,",", "&amp;SUBSTITUTE(SUBSTITUTE(G14,", ",", ")," + ",", ")&amp;", "))),ISNUMBER(SEARCH(", LA,",", "&amp;SUBSTITUTE(SUBSTITUTE(L14,", ",", ")," + ",", ")&amp;", "))),OR(NOT(ISNUMBER(SEARCH(", NGA,",", "&amp;SUBSTITUTE(SUBSTITUTE(G14,", ",", ")," + ",", ")&amp;", "))),ISNUMBER(SEARCH(", NGA,",", "&amp;SUBSTITUTE(SUBSTITUTE(L14,", ",", ")," + ",", ")&amp;", "))),OR(NOT(ISNUMBER(SEARCH(", PA,",", "&amp;SUBSTITUTE(SUBSTITUTE(G14,", ",", ")," + ",", ")&amp;", "))),ISNUMBER(SEARCH(", PA,",", "&amp;SUBSTITUTE(SUBSTITUTE(L14,", ",", ")," + ",", ")&amp;", "))),OR(NOT(ISNUMBER(SEARCH(", A,",", "&amp;SUBSTITUTE(SUBSTITUTE(L13,", ",", ")," + ",", ")&amp;", "))),ISNUMBER(SEARCH(", A,",", "&amp;SUBSTITUTE(SUBSTITUTE(L14,", ",", ")," + ",", ")&amp;", "))),OR(NOT(ISNUMBER(SEARCH(", E/I,",", "&amp;SUBSTITUTE(SUBSTITUTE(L13,", ",", ")," + ",", ")&amp;", "))),ISNUMBER(SEARCH(", E/I,",", "&amp;SUBSTITUTE(SUBSTITUTE(L14,", ",", ")," + ",", ")&amp;", "))),OR(NOT(ISNUMBER(SEARCH(", BA,",", "&amp;SUBSTITUTE(SUBSTITUTE(L13,", ",", ")," + ",", ")&amp;", "))),ISNUMBER(SEARCH(", BA,",", "&amp;SUBSTITUTE(SUBSTITUTE(L14,", ",", ")," + ",", ")&amp;", "))),OR(NOT(ISNUMBER(SEARCH(", MA,",", "&amp;SUBSTITUTE(SUBSTITUTE(L13,", ",", ")," + ",", ")&amp;", "))),ISNUMBER(SEARCH(", MA,",", "&amp;SUBSTITUTE(SUBSTITUTE(L14,", ",", ")," + ",", ")&amp;", "))),OR(NOT(ISNUMBER(SEARCH(", NA,",", "&amp;SUBSTITUTE(SUBSTITUTE(L13,", ",", ")," + ",", ")&amp;", "))),ISNUMBER(SEARCH(", NA,",", "&amp;SUBSTITUTE(SUBSTITUTE(L14,", ",", ")," + ",", ")&amp;", "))),OR(NOT(ISNUMBER(SEARCH(", TA,",", "&amp;SUBSTITUTE(SUBSTITUTE(L13,", ",", ")," + ",", ")&amp;", "))),ISNUMBER(SEARCH(", TA,",", "&amp;SUBSTITUTE(SUBSTITUTE(L14,", ",", ")," + ",", ")&amp;", "))),OR(NOT(ISNUMBER(SEARCH(", O/U,",", "&amp;SUBSTITUTE(SUBSTITUTE(L13,", ",", ")," + ",", ")&amp;", "))),ISNUMBER(SEARCH(", O/U,",", "&amp;SUBSTITUTE(SUBSTITUTE(L14,", ",", ")," + ",", ")&amp;", "))),OR(NOT(ISNUMBER(SEARCH(", KA,",", "&amp;SUBSTITUTE(SUBSTITUTE(L13,", ",", ")," + ",", ")&amp;", "))),ISNUMBER(SEARCH(", KA,",", "&amp;SUBSTITUTE(SUBSTITUTE(L14,", ",", ")," + ",", ")&amp;", "))),OR(NOT(ISNUMBER(SEARCH(", GA,",", "&amp;SUBSTITUTE(SUBSTITUTE(L13,", ",", ")," + ",", ")&amp;", "))),ISNUMBER(SEARCH(", GA,",", "&amp;SUBSTITUTE(SUBSTITUTE(L14,", ",", ")," + ",", ")&amp;", "))),OR(NOT(ISNUMBER(SEARCH(", SA,",", "&amp;SUBSTITUTE(SUBSTITUTE(L13,", ",", ")," + ",", ")&amp;", "))),ISNUMBER(SEARCH(", SA,",", "&amp;SUBSTITUTE(SUBSTITUTE(L14,", ",", ")," + ",", ")&amp;", "))),OR(NOT(ISNUMBER(SEARCH(", WA,",", "&amp;SUBSTITUTE(SUBSTITUTE(L13,", ",", ")," + ",", ")&amp;", "))),ISNUMBER(SEARCH(", WA,",", "&amp;SUBSTITUTE(SUBSTITUTE(L14,", ",", ")," + ",", ")&amp;", "))),OR(NOT(ISNUMBER(SEARCH(", YA,",", "&amp;SUBSTITUTE(SUBSTITUTE(L13,", ",", ")," + ",", ")&amp;", "))),ISNUMBER(SEARCH(", YA,",", "&amp;SUBSTITUTE(SUBSTITUTE(L14,", ",", ")," + ",", ")&amp;", "))),OR(NOT(ISNUMBER(SEARCH(", DA/RA,",", "&amp;SUBSTITUTE(SUBSTITUTE(L13,", ",", ")," + ",", ")&amp;", "))),ISNUMBER(SEARCH(", DA/RA,",", "&amp;SUBSTITUTE(SUBSTITUTE(L14,", ",", ")," + ",", ")&amp;", "))),OR(NOT(ISNUMBER(SEARCH(", HA,",", "&amp;SUBSTITUTE(SUBSTITUTE(L13,", ",", ")," + ",", ")&amp;", "))),ISNUMBER(SEARCH(", HA,",", "&amp;SUBSTITUTE(SUBSTITUTE(L14,", ",", ")," + ",", ")&amp;", "))),OR(NOT(ISNUMBER(SEARCH(", LA,",", "&amp;SUBSTITUTE(SUBSTITUTE(L13,", ",", ")," + ",", ")&amp;", "))),ISNUMBER(SEARCH(", LA,",", "&amp;SUBSTITUTE(SUBSTITUTE(L14,", ",", ")," + ",", ")&amp;", "))),OR(NOT(ISNUMBER(SEARCH(", NGA,",", "&amp;SUBSTITUTE(SUBSTITUTE(L13,", ",", ")," + ",", ")&amp;", "))),ISNUMBER(SEARCH(", NGA,",", "&amp;SUBSTITUTE(SUBSTITUTE(L14,", ",", ")," + ",", ")&amp;", "))),OR(NOT(ISNUMBER(SEARCH(", PA,",", "&amp;SUBSTITUTE(SUBSTITUTE(L13,", ",", ")," + ",", ")&amp;", "))),ISNUMBER(SEARCH(", PA,",", "&amp;SUBSTITUTE(SUBSTITUTE(L14,", ",", ")," + ",", ")&amp;", ")))),"PASS","FAIL")</x:f>
        <x:v>PASS</x:v>
      </x:c>
      <x:c r="N14" s="47" t="str">
        <x:v>Intentional repeat</x:v>
      </x:c>
      <x:c r="O14" s="47" t="str">
        <x:v>L1-S1</x:v>
      </x:c>
      <x:c r="P14" s="47" t="str">
        <x:v>None</x:v>
      </x:c>
      <x:c r="Q14" s="47" t="str">
        <x:f>IF(OR(ISNUMBER(SEARCH("kudlit",LOWER(E14))),ISNUMBER(SEARCH("ᜒ",E14)),ISNUMBER(SEARCH("ᜓ",E14))),"Yes","No")</x:f>
        <x:v>No</x:v>
      </x:c>
      <x:c r="R14" s="47" t="str">
        <x:f>IF(OR(ISNUMBER(SEARCH("BE",E14)),ISNUMBER(SEARCH("BI",E14)),ISNUMBER(SEARCH("BO",E14)),ISNUMBER(SEARCH("BU",E14)),ISNUMBER(SEARCH("DE",E14)),ISNUMBER(SEARCH("DI",E14)),ISNUMBER(SEARCH("DO",E14)),ISNUMBER(SEARCH("DU",E14)),ISNUMBER(SEARCH("GE",E14)),ISNUMBER(SEARCH("GI",E14)),ISNUMBER(SEARCH("GO",E14)),ISNUMBER(SEARCH("GU",E14)),ISNUMBER(SEARCH("HE",E14)),ISNUMBER(SEARCH("HI",E14)),ISNUMBER(SEARCH("HO",E14)),ISNUMBER(SEARCH("HU",E14)),ISNUMBER(SEARCH("KE",E14)),ISNUMBER(SEARCH("KI",E14)),ISNUMBER(SEARCH("KO",E14)),ISNUMBER(SEARCH("KU",E14)),ISNUMBER(SEARCH("LE",E14)),ISNUMBER(SEARCH("LI",E14)),ISNUMBER(SEARCH("LO",E14)),ISNUMBER(SEARCH("LU",E14)),ISNUMBER(SEARCH("ME",E14)),ISNUMBER(SEARCH("MI",E14)),ISNUMBER(SEARCH("MO",E14)),ISNUMBER(SEARCH("MU",E14)),ISNUMBER(SEARCH("NE",E14)),ISNUMBER(SEARCH("NI",E14)),ISNUMBER(SEARCH("NO",E14)),ISNUMBER(SEARCH("NU",E14)),ISNUMBER(SEARCH("PE",E14)),ISNUMBER(SEARCH("PI",E14)),ISNUMBER(SEARCH("PO",E14)),ISNUMBER(SEARCH("PU",E14)),ISNUMBER(SEARCH("RE",E14)),ISNUMBER(SEARCH("RI",E14)),ISNUMBER(SEARCH("RO",E14)),ISNUMBER(SEARCH("RU",E14)),ISNUMBER(SEARCH("SE",E14)),ISNUMBER(SEARCH("SI",E14)),ISNUMBER(SEARCH("SO",E14)),ISNUMBER(SEARCH("SU",E14)),ISNUMBER(SEARCH("TE",E14)),ISNUMBER(SEARCH("TI",E14)),ISNUMBER(SEARCH("TO",E14)),ISNUMBER(SEARCH("TU",E14)),ISNUMBER(SEARCH("WE",E14)),ISNUMBER(SEARCH("WI",E14)),ISNUMBER(SEARCH("WO",E14)),ISNUMBER(SEARCH("WU",E14)),ISNUMBER(SEARCH("YE",E14)),ISNUMBER(SEARCH("YI",E14)),ISNUMBER(SEARCH("YO",E14)),ISNUMBER(SEARCH("YU",E14))),"Yes","No")</x:f>
        <x:v>No</x:v>
      </x:c>
      <x:c r="S14" s="47" t="str">
        <x:v>Era 1 - Ugat!D18</x:v>
      </x:c>
      <x:c r="T14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14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14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14," + "))=COUNTA(TEXTSPLIT(G14," + "))),"PASS","FAIL")</x:f>
        <x:v>PASS</x:v>
      </x:c>
      <x:c r="U14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14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"&amp;SUBSTITUTE(SUBSTITUTE(G14,", ",", ")," + ",", ")&amp;", "))),AND('Character Matrix'!$J$8&lt;&gt;"",'Character Matrix'!$Q$8&lt;&gt;"Missing",'Character Matrix'!$Q$8&lt;&gt;"Conflicting")),OR(NOT(ISNUMBER(SEARCH(", E/I,",", "&amp;SUBSTITUTE(SUBSTITUTE(G14,", ",", ")," + ",", ")&amp;", "))),AND('Character Matrix'!$J$9&lt;&gt;"",'Character Matrix'!$Q$9&lt;&gt;"Missing",'Character Matrix'!$Q$9&lt;&gt;"Conflicting")),OR(NOT(ISNUMBER(SEARCH(", BA,",", "&amp;SUBSTITUTE(SUBSTITUTE(G14,", ",", ")," + ",", ")&amp;", "))),AND('Character Matrix'!$J$10&lt;&gt;"",'Character Matrix'!$Q$10&lt;&gt;"Missing",'Character Matrix'!$Q$10&lt;&gt;"Conflicting")),OR(NOT(ISNUMBER(SEARCH(", MA,",", "&amp;SUBSTITUTE(SUBSTITUTE(G14,", ",", ")," + ",", ")&amp;", "))),AND('Character Matrix'!$J$11&lt;&gt;"",'Character Matrix'!$Q$11&lt;&gt;"Missing",'Character Matrix'!$Q$11&lt;&gt;"Conflicting")),OR(NOT(ISNUMBER(SEARCH(", NA,",", "&amp;SUBSTITUTE(SUBSTITUTE(G14,", ",", ")," + ",", ")&amp;", "))),AND('Character Matrix'!$J$12&lt;&gt;"",'Character Matrix'!$Q$12&lt;&gt;"Missing",'Character Matrix'!$Q$12&lt;&gt;"Conflicting")),OR(NOT(ISNUMBER(SEARCH(", TA,",", "&amp;SUBSTITUTE(SUBSTITUTE(G14,", ",", ")," + ",", ")&amp;", "))),AND('Character Matrix'!$J$13&lt;&gt;"",'Character Matrix'!$Q$13&lt;&gt;"Missing",'Character Matrix'!$Q$13&lt;&gt;"Conflicting")),OR(NOT(ISNUMBER(SEARCH(", O/U,",", "&amp;SUBSTITUTE(SUBSTITUTE(G14,", ",", ")," + ",", ")&amp;", "))),AND('Character Matrix'!$J$14&lt;&gt;"",'Character Matrix'!$Q$14&lt;&gt;"Missing",'Character Matrix'!$Q$14&lt;&gt;"Conflicting")),OR(NOT(ISNUMBER(SEARCH(", KA,",", "&amp;SUBSTITUTE(SUBSTITUTE(G14,", ",", ")," + ",", ")&amp;", "))),AND('Character Matrix'!$J$15&lt;&gt;"",'Character Matrix'!$Q$15&lt;&gt;"Missing",'Character Matrix'!$Q$15&lt;&gt;"Conflicting")),OR(NOT(ISNUMBER(SEARCH(", GA,",", "&amp;SUBSTITUTE(SUBSTITUTE(G14,", ",", ")," + ",", ")&amp;", "))),AND('Character Matrix'!$J$16&lt;&gt;"",'Character Matrix'!$Q$16&lt;&gt;"Missing",'Character Matrix'!$Q$16&lt;&gt;"Conflicting")),OR(NOT(ISNUMBER(SEARCH(", SA,",", "&amp;SUBSTITUTE(SUBSTITUTE(G14,", ",", ")," + ",", ")&amp;", "))),AND('Character Matrix'!$J$17&lt;&gt;"",'Character Matrix'!$Q$17&lt;&gt;"Missing",'Character Matrix'!$Q$17&lt;&gt;"Conflicting")),OR(NOT(ISNUMBER(SEARCH(", WA,",", "&amp;SUBSTITUTE(SUBSTITUTE(G14,", ",", ")," + ",", ")&amp;", "))),AND('Character Matrix'!$J$18&lt;&gt;"",'Character Matrix'!$Q$18&lt;&gt;"Missing",'Character Matrix'!$Q$18&lt;&gt;"Conflicting")),OR(NOT(ISNUMBER(SEARCH(", YA,",", "&amp;SUBSTITUTE(SUBSTITUTE(G14,", ",", ")," + ",", ")&amp;", "))),AND('Character Matrix'!$J$19&lt;&gt;"",'Character Matrix'!$Q$19&lt;&gt;"Missing",'Character Matrix'!$Q$19&lt;&gt;"Conflicting")),OR(NOT(ISNUMBER(SEARCH(", DA/RA,",", "&amp;SUBSTITUTE(SUBSTITUTE(G14,", ",", ")," + ",", ")&amp;", "))),AND('Character Matrix'!$J$20&lt;&gt;"",'Character Matrix'!$Q$20&lt;&gt;"Missing",'Character Matrix'!$Q$20&lt;&gt;"Conflicting")),OR(NOT(ISNUMBER(SEARCH(", HA,",", "&amp;SUBSTITUTE(SUBSTITUTE(G14,", ",", ")," + ",", ")&amp;", "))),AND('Character Matrix'!$J$21&lt;&gt;"",'Character Matrix'!$Q$21&lt;&gt;"Missing",'Character Matrix'!$Q$21&lt;&gt;"Conflicting")),OR(NOT(ISNUMBER(SEARCH(", LA,",", "&amp;SUBSTITUTE(SUBSTITUTE(G14,", ",", ")," + ",", ")&amp;", "))),AND('Character Matrix'!$J$22&lt;&gt;"",'Character Matrix'!$Q$22&lt;&gt;"Missing",'Character Matrix'!$Q$22&lt;&gt;"Conflicting")),OR(NOT(ISNUMBER(SEARCH(", NGA,",", "&amp;SUBSTITUTE(SUBSTITUTE(G14,", ",", ")," + ",", ")&amp;", "))),AND('Character Matrix'!$J$23&lt;&gt;"",'Character Matrix'!$Q$23&lt;&gt;"Missing",'Character Matrix'!$Q$23&lt;&gt;"Conflicting")),OR(NOT(ISNUMBER(SEARCH(", PA,",", "&amp;SUBSTITUTE(SUBSTITUTE(G14,", ",", ")," + ",", ")&amp;", "))),AND('Character Matrix'!$J$24&lt;&gt;"",'Character Matrix'!$Q$24&lt;&gt;"Missing",'Character Matrix'!$Q$24&lt;&gt;"Conflicting"))),"PASS","FAIL")</x:f>
        <x:v>PASS</x:v>
      </x:c>
      <x:c r="V14" s="48" t="str">
        <x:f>IF(AND(M14="PASS",Q14="No",R14="No",T14="PASS",U14="PASS",OR(K14="N/A",K14="PASS")),"PASS","FAIL")</x:f>
        <x:v>PASS</x:v>
      </x:c>
    </x:row>
    <x:row r="15" ht="52" customHeight="1">
      <x:c r="A15" s="46" t="n">
        <x:v>4</x:v>
      </x:c>
      <x:c r="B15" s="47" t="str">
        <x:v>Ugat</x:v>
      </x:c>
      <x:c r="C15" s="47" t="n">
        <x:v>4</x:v>
      </x:c>
      <x:c r="D15" s="47" t="n">
        <x:v>2</x:v>
      </x:c>
      <x:c r="E15" s="47" t="str">
        <x:v>AMA</x:v>
      </x:c>
      <x:c r="F15" s="47" t="str">
        <x:v>A + MA</x:v>
      </x:c>
      <x:c r="G15" s="47" t="str">
        <x:v>A + MA</x:v>
      </x:c>
      <x:c r="H15" s="47" t="str">
        <x:v>MA</x:v>
      </x:c>
      <x:c r="I15" s="47" t="str">
        <x:v>MA</x:v>
      </x:c>
      <x:c r="J15" s="47" t="str">
        <x:v>MA</x:v>
      </x:c>
      <x:c r="K15" s="47" t="str">
        <x:f>IF(D15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15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15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15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15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PASS</x:v>
      </x:c>
      <x:c r="L15" s="47" t="str">
        <x:v>A, E/I, BA, MA, NA, TA</x:v>
      </x:c>
      <x:c r="M15" s="47" t="str">
        <x:f>IF(AND(LEN(L15)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15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15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15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"&amp;SUBSTITUTE(SUBSTITUTE(G15,", ",", ")," + ",", ")&amp;", "))),ISNUMBER(SEARCH(", A,",", "&amp;SUBSTITUTE(SUBSTITUTE(L15,", ",", ")," + ",", ")&amp;", "))),OR(NOT(ISNUMBER(SEARCH(", E/I,",", "&amp;SUBSTITUTE(SUBSTITUTE(G15,", ",", ")," + ",", ")&amp;", "))),ISNUMBER(SEARCH(", E/I,",", "&amp;SUBSTITUTE(SUBSTITUTE(L15,", ",", ")," + ",", ")&amp;", "))),OR(NOT(ISNUMBER(SEARCH(", BA,",", "&amp;SUBSTITUTE(SUBSTITUTE(G15,", ",", ")," + ",", ")&amp;", "))),ISNUMBER(SEARCH(", BA,",", "&amp;SUBSTITUTE(SUBSTITUTE(L15,", ",", ")," + ",", ")&amp;", "))),OR(NOT(ISNUMBER(SEARCH(", MA,",", "&amp;SUBSTITUTE(SUBSTITUTE(G15,", ",", ")," + ",", ")&amp;", "))),ISNUMBER(SEARCH(", MA,",", "&amp;SUBSTITUTE(SUBSTITUTE(L15,", ",", ")," + ",", ")&amp;", "))),OR(NOT(ISNUMBER(SEARCH(", NA,",", "&amp;SUBSTITUTE(SUBSTITUTE(G15,", ",", ")," + ",", ")&amp;", "))),ISNUMBER(SEARCH(", NA,",", "&amp;SUBSTITUTE(SUBSTITUTE(L15,", ",", ")," + ",", ")&amp;", "))),OR(NOT(ISNUMBER(SEARCH(", TA,",", "&amp;SUBSTITUTE(SUBSTITUTE(G15,", ",", ")," + ",", ")&amp;", "))),ISNUMBER(SEARCH(", TA,",", "&amp;SUBSTITUTE(SUBSTITUTE(L15,", ",", ")," + ",", ")&amp;", "))),OR(NOT(ISNUMBER(SEARCH(", O/U,",", "&amp;SUBSTITUTE(SUBSTITUTE(G15,", ",", ")," + ",", ")&amp;", "))),ISNUMBER(SEARCH(", O/U,",", "&amp;SUBSTITUTE(SUBSTITUTE(L15,", ",", ")," + ",", ")&amp;", "))),OR(NOT(ISNUMBER(SEARCH(", KA,",", "&amp;SUBSTITUTE(SUBSTITUTE(G15,", ",", ")," + ",", ")&amp;", "))),ISNUMBER(SEARCH(", KA,",", "&amp;SUBSTITUTE(SUBSTITUTE(L15,", ",", ")," + ",", ")&amp;", "))),OR(NOT(ISNUMBER(SEARCH(", GA,",", "&amp;SUBSTITUTE(SUBSTITUTE(G15,", ",", ")," + ",", ")&amp;", "))),ISNUMBER(SEARCH(", GA,",", "&amp;SUBSTITUTE(SUBSTITUTE(L15,", ",", ")," + ",", ")&amp;", "))),OR(NOT(ISNUMBER(SEARCH(", SA,",", "&amp;SUBSTITUTE(SUBSTITUTE(G15,", ",", ")," + ",", ")&amp;", "))),ISNUMBER(SEARCH(", SA,",", "&amp;SUBSTITUTE(SUBSTITUTE(L15,", ",", ")," + ",", ")&amp;", "))),OR(NOT(ISNUMBER(SEARCH(", WA,",", "&amp;SUBSTITUTE(SUBSTITUTE(G15,", ",", ")," + ",", ")&amp;", "))),ISNUMBER(SEARCH(", WA,",", "&amp;SUBSTITUTE(SUBSTITUTE(L15,", ",", ")," + ",", ")&amp;", "))),OR(NOT(ISNUMBER(SEARCH(", YA,",", "&amp;SUBSTITUTE(SUBSTITUTE(G15,", ",", ")," + ",", ")&amp;", "))),ISNUMBER(SEARCH(", YA,",", "&amp;SUBSTITUTE(SUBSTITUTE(L15,", ",", ")," + ",", ")&amp;", "))),OR(NOT(ISNUMBER(SEARCH(", DA/RA,",", "&amp;SUBSTITUTE(SUBSTITUTE(G15,", ",", ")," + ",", ")&amp;", "))),ISNUMBER(SEARCH(", DA/RA,",", "&amp;SUBSTITUTE(SUBSTITUTE(L15,", ",", ")," + ",", ")&amp;", "))),OR(NOT(ISNUMBER(SEARCH(", HA,",", "&amp;SUBSTITUTE(SUBSTITUTE(G15,", ",", ")," + ",", ")&amp;", "))),ISNUMBER(SEARCH(", HA,",", "&amp;SUBSTITUTE(SUBSTITUTE(L15,", ",", ")," + ",", ")&amp;", "))),OR(NOT(ISNUMBER(SEARCH(", LA,",", "&amp;SUBSTITUTE(SUBSTITUTE(G15,", ",", ")," + ",", ")&amp;", "))),ISNUMBER(SEARCH(", LA,",", "&amp;SUBSTITUTE(SUBSTITUTE(L15,", ",", ")," + ",", ")&amp;", "))),OR(NOT(ISNUMBER(SEARCH(", NGA,",", "&amp;SUBSTITUTE(SUBSTITUTE(G15,", ",", ")," + ",", ")&amp;", "))),ISNUMBER(SEARCH(", NGA,",", "&amp;SUBSTITUTE(SUBSTITUTE(L15,", ",", ")," + ",", ")&amp;", "))),OR(NOT(ISNUMBER(SEARCH(", PA,",", "&amp;SUBSTITUTE(SUBSTITUTE(G15,", ",", ")," + ",", ")&amp;", "))),ISNUMBER(SEARCH(", PA,",", "&amp;SUBSTITUTE(SUBSTITUTE(L15,", ",", ")," + ",", ")&amp;", "))),OR(NOT(ISNUMBER(SEARCH(", A,",", "&amp;SUBSTITUTE(SUBSTITUTE(L14,", ",", ")," + ",", ")&amp;", "))),ISNUMBER(SEARCH(", A,",", "&amp;SUBSTITUTE(SUBSTITUTE(L15,", ",", ")," + ",", ")&amp;", "))),OR(NOT(ISNUMBER(SEARCH(", E/I,",", "&amp;SUBSTITUTE(SUBSTITUTE(L14,", ",", ")," + ",", ")&amp;", "))),ISNUMBER(SEARCH(", E/I,",", "&amp;SUBSTITUTE(SUBSTITUTE(L15,", ",", ")," + ",", ")&amp;", "))),OR(NOT(ISNUMBER(SEARCH(", BA,",", "&amp;SUBSTITUTE(SUBSTITUTE(L14,", ",", ")," + ",", ")&amp;", "))),ISNUMBER(SEARCH(", BA,",", "&amp;SUBSTITUTE(SUBSTITUTE(L15,", ",", ")," + ",", ")&amp;", "))),OR(NOT(ISNUMBER(SEARCH(", MA,",", "&amp;SUBSTITUTE(SUBSTITUTE(L14,", ",", ")," + ",", ")&amp;", "))),ISNUMBER(SEARCH(", MA,",", "&amp;SUBSTITUTE(SUBSTITUTE(L15,", ",", ")," + ",", ")&amp;", "))),OR(NOT(ISNUMBER(SEARCH(", NA,",", "&amp;SUBSTITUTE(SUBSTITUTE(L14,", ",", ")," + ",", ")&amp;", "))),ISNUMBER(SEARCH(", NA,",", "&amp;SUBSTITUTE(SUBSTITUTE(L15,", ",", ")," + ",", ")&amp;", "))),OR(NOT(ISNUMBER(SEARCH(", TA,",", "&amp;SUBSTITUTE(SUBSTITUTE(L14,", ",", ")," + ",", ")&amp;", "))),ISNUMBER(SEARCH(", TA,",", "&amp;SUBSTITUTE(SUBSTITUTE(L15,", ",", ")," + ",", ")&amp;", "))),OR(NOT(ISNUMBER(SEARCH(", O/U,",", "&amp;SUBSTITUTE(SUBSTITUTE(L14,", ",", ")," + ",", ")&amp;", "))),ISNUMBER(SEARCH(", O/U,",", "&amp;SUBSTITUTE(SUBSTITUTE(L15,", ",", ")," + ",", ")&amp;", "))),OR(NOT(ISNUMBER(SEARCH(", KA,",", "&amp;SUBSTITUTE(SUBSTITUTE(L14,", ",", ")," + ",", ")&amp;", "))),ISNUMBER(SEARCH(", KA,",", "&amp;SUBSTITUTE(SUBSTITUTE(L15,", ",", ")," + ",", ")&amp;", "))),OR(NOT(ISNUMBER(SEARCH(", GA,",", "&amp;SUBSTITUTE(SUBSTITUTE(L14,", ",", ")," + ",", ")&amp;", "))),ISNUMBER(SEARCH(", GA,",", "&amp;SUBSTITUTE(SUBSTITUTE(L15,", ",", ")," + ",", ")&amp;", "))),OR(NOT(ISNUMBER(SEARCH(", SA,",", "&amp;SUBSTITUTE(SUBSTITUTE(L14,", ",", ")," + ",", ")&amp;", "))),ISNUMBER(SEARCH(", SA,",", "&amp;SUBSTITUTE(SUBSTITUTE(L15,", ",", ")," + ",", ")&amp;", "))),OR(NOT(ISNUMBER(SEARCH(", WA,",", "&amp;SUBSTITUTE(SUBSTITUTE(L14,", ",", ")," + ",", ")&amp;", "))),ISNUMBER(SEARCH(", WA,",", "&amp;SUBSTITUTE(SUBSTITUTE(L15,", ",", ")," + ",", ")&amp;", "))),OR(NOT(ISNUMBER(SEARCH(", YA,",", "&amp;SUBSTITUTE(SUBSTITUTE(L14,", ",", ")," + ",", ")&amp;", "))),ISNUMBER(SEARCH(", YA,",", "&amp;SUBSTITUTE(SUBSTITUTE(L15,", ",", ")," + ",", ")&amp;", "))),OR(NOT(ISNUMBER(SEARCH(", DA/RA,",", "&amp;SUBSTITUTE(SUBSTITUTE(L14,", ",", ")," + ",", ")&amp;", "))),ISNUMBER(SEARCH(", DA/RA,",", "&amp;SUBSTITUTE(SUBSTITUTE(L15,", ",", ")," + ",", ")&amp;", "))),OR(NOT(ISNUMBER(SEARCH(", HA,",", "&amp;SUBSTITUTE(SUBSTITUTE(L14,", ",", ")," + ",", ")&amp;", "))),ISNUMBER(SEARCH(", HA,",", "&amp;SUBSTITUTE(SUBSTITUTE(L15,", ",", ")," + ",", ")&amp;", "))),OR(NOT(ISNUMBER(SEARCH(", LA,",", "&amp;SUBSTITUTE(SUBSTITUTE(L14,", ",", ")," + ",", ")&amp;", "))),ISNUMBER(SEARCH(", LA,",", "&amp;SUBSTITUTE(SUBSTITUTE(L15,", ",", ")," + ",", ")&amp;", "))),OR(NOT(ISNUMBER(SEARCH(", NGA,",", "&amp;SUBSTITUTE(SUBSTITUTE(L14,", ",", ")," + ",", ")&amp;", "))),ISNUMBER(SEARCH(", NGA,",", "&amp;SUBSTITUTE(SUBSTITUTE(L15,", ",", ")," + ",", ")&amp;", "))),OR(NOT(ISNUMBER(SEARCH(", PA,",", "&amp;SUBSTITUTE(SUBSTITUTE(L14,", ",", ")," + ",", ")&amp;", "))),ISNUMBER(SEARCH(", PA,",", "&amp;SUBSTITUTE(SUBSTITUTE(L15,", ",", ")," + ",", ")&amp;", ")))),"PASS","FAIL")</x:f>
        <x:v>PASS</x:v>
      </x:c>
      <x:c r="N15" s="47" t="str">
        <x:v>Intentional repeat</x:v>
      </x:c>
      <x:c r="O15" s="47" t="str">
        <x:v>L1-S2</x:v>
      </x:c>
      <x:c r="P15" s="47" t="str">
        <x:v>None</x:v>
      </x:c>
      <x:c r="Q15" s="47" t="str">
        <x:f>IF(OR(ISNUMBER(SEARCH("kudlit",LOWER(E15))),ISNUMBER(SEARCH("ᜒ",E15)),ISNUMBER(SEARCH("ᜓ",E15))),"Yes","No")</x:f>
        <x:v>No</x:v>
      </x:c>
      <x:c r="R15" s="47" t="str">
        <x:f>IF(OR(ISNUMBER(SEARCH("BE",E15)),ISNUMBER(SEARCH("BI",E15)),ISNUMBER(SEARCH("BO",E15)),ISNUMBER(SEARCH("BU",E15)),ISNUMBER(SEARCH("DE",E15)),ISNUMBER(SEARCH("DI",E15)),ISNUMBER(SEARCH("DO",E15)),ISNUMBER(SEARCH("DU",E15)),ISNUMBER(SEARCH("GE",E15)),ISNUMBER(SEARCH("GI",E15)),ISNUMBER(SEARCH("GO",E15)),ISNUMBER(SEARCH("GU",E15)),ISNUMBER(SEARCH("HE",E15)),ISNUMBER(SEARCH("HI",E15)),ISNUMBER(SEARCH("HO",E15)),ISNUMBER(SEARCH("HU",E15)),ISNUMBER(SEARCH("KE",E15)),ISNUMBER(SEARCH("KI",E15)),ISNUMBER(SEARCH("KO",E15)),ISNUMBER(SEARCH("KU",E15)),ISNUMBER(SEARCH("LE",E15)),ISNUMBER(SEARCH("LI",E15)),ISNUMBER(SEARCH("LO",E15)),ISNUMBER(SEARCH("LU",E15)),ISNUMBER(SEARCH("ME",E15)),ISNUMBER(SEARCH("MI",E15)),ISNUMBER(SEARCH("MO",E15)),ISNUMBER(SEARCH("MU",E15)),ISNUMBER(SEARCH("NE",E15)),ISNUMBER(SEARCH("NI",E15)),ISNUMBER(SEARCH("NO",E15)),ISNUMBER(SEARCH("NU",E15)),ISNUMBER(SEARCH("PE",E15)),ISNUMBER(SEARCH("PI",E15)),ISNUMBER(SEARCH("PO",E15)),ISNUMBER(SEARCH("PU",E15)),ISNUMBER(SEARCH("RE",E15)),ISNUMBER(SEARCH("RI",E15)),ISNUMBER(SEARCH("RO",E15)),ISNUMBER(SEARCH("RU",E15)),ISNUMBER(SEARCH("SE",E15)),ISNUMBER(SEARCH("SI",E15)),ISNUMBER(SEARCH("SO",E15)),ISNUMBER(SEARCH("SU",E15)),ISNUMBER(SEARCH("TE",E15)),ISNUMBER(SEARCH("TI",E15)),ISNUMBER(SEARCH("TO",E15)),ISNUMBER(SEARCH("TU",E15)),ISNUMBER(SEARCH("WE",E15)),ISNUMBER(SEARCH("WI",E15)),ISNUMBER(SEARCH("WO",E15)),ISNUMBER(SEARCH("WU",E15)),ISNUMBER(SEARCH("YE",E15)),ISNUMBER(SEARCH("YI",E15)),ISNUMBER(SEARCH("YO",E15)),ISNUMBER(SEARCH("YU",E15))),"Yes","No")</x:f>
        <x:v>No</x:v>
      </x:c>
      <x:c r="S15" s="47" t="str">
        <x:v>Era 1 - Ugat!D18</x:v>
      </x:c>
      <x:c r="T15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15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15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15," + "))=COUNTA(TEXTSPLIT(G15," + "))),"PASS","FAIL")</x:f>
        <x:v>PASS</x:v>
      </x:c>
      <x:c r="U15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15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"&amp;SUBSTITUTE(SUBSTITUTE(G15,", ",", ")," + ",", ")&amp;", "))),AND('Character Matrix'!$J$8&lt;&gt;"",'Character Matrix'!$Q$8&lt;&gt;"Missing",'Character Matrix'!$Q$8&lt;&gt;"Conflicting")),OR(NOT(ISNUMBER(SEARCH(", E/I,",", "&amp;SUBSTITUTE(SUBSTITUTE(G15,", ",", ")," + ",", ")&amp;", "))),AND('Character Matrix'!$J$9&lt;&gt;"",'Character Matrix'!$Q$9&lt;&gt;"Missing",'Character Matrix'!$Q$9&lt;&gt;"Conflicting")),OR(NOT(ISNUMBER(SEARCH(", BA,",", "&amp;SUBSTITUTE(SUBSTITUTE(G15,", ",", ")," + ",", ")&amp;", "))),AND('Character Matrix'!$J$10&lt;&gt;"",'Character Matrix'!$Q$10&lt;&gt;"Missing",'Character Matrix'!$Q$10&lt;&gt;"Conflicting")),OR(NOT(ISNUMBER(SEARCH(", MA,",", "&amp;SUBSTITUTE(SUBSTITUTE(G15,", ",", ")," + ",", ")&amp;", "))),AND('Character Matrix'!$J$11&lt;&gt;"",'Character Matrix'!$Q$11&lt;&gt;"Missing",'Character Matrix'!$Q$11&lt;&gt;"Conflicting")),OR(NOT(ISNUMBER(SEARCH(", NA,",", "&amp;SUBSTITUTE(SUBSTITUTE(G15,", ",", ")," + ",", ")&amp;", "))),AND('Character Matrix'!$J$12&lt;&gt;"",'Character Matrix'!$Q$12&lt;&gt;"Missing",'Character Matrix'!$Q$12&lt;&gt;"Conflicting")),OR(NOT(ISNUMBER(SEARCH(", TA,",", "&amp;SUBSTITUTE(SUBSTITUTE(G15,", ",", ")," + ",", ")&amp;", "))),AND('Character Matrix'!$J$13&lt;&gt;"",'Character Matrix'!$Q$13&lt;&gt;"Missing",'Character Matrix'!$Q$13&lt;&gt;"Conflicting")),OR(NOT(ISNUMBER(SEARCH(", O/U,",", "&amp;SUBSTITUTE(SUBSTITUTE(G15,", ",", ")," + ",", ")&amp;", "))),AND('Character Matrix'!$J$14&lt;&gt;"",'Character Matrix'!$Q$14&lt;&gt;"Missing",'Character Matrix'!$Q$14&lt;&gt;"Conflicting")),OR(NOT(ISNUMBER(SEARCH(", KA,",", "&amp;SUBSTITUTE(SUBSTITUTE(G15,", ",", ")," + ",", ")&amp;", "))),AND('Character Matrix'!$J$15&lt;&gt;"",'Character Matrix'!$Q$15&lt;&gt;"Missing",'Character Matrix'!$Q$15&lt;&gt;"Conflicting")),OR(NOT(ISNUMBER(SEARCH(", GA,",", "&amp;SUBSTITUTE(SUBSTITUTE(G15,", ",", ")," + ",", ")&amp;", "))),AND('Character Matrix'!$J$16&lt;&gt;"",'Character Matrix'!$Q$16&lt;&gt;"Missing",'Character Matrix'!$Q$16&lt;&gt;"Conflicting")),OR(NOT(ISNUMBER(SEARCH(", SA,",", "&amp;SUBSTITUTE(SUBSTITUTE(G15,", ",", ")," + ",", ")&amp;", "))),AND('Character Matrix'!$J$17&lt;&gt;"",'Character Matrix'!$Q$17&lt;&gt;"Missing",'Character Matrix'!$Q$17&lt;&gt;"Conflicting")),OR(NOT(ISNUMBER(SEARCH(", WA,",", "&amp;SUBSTITUTE(SUBSTITUTE(G15,", ",", ")," + ",", ")&amp;", "))),AND('Character Matrix'!$J$18&lt;&gt;"",'Character Matrix'!$Q$18&lt;&gt;"Missing",'Character Matrix'!$Q$18&lt;&gt;"Conflicting")),OR(NOT(ISNUMBER(SEARCH(", YA,",", "&amp;SUBSTITUTE(SUBSTITUTE(G15,", ",", ")," + ",", ")&amp;", "))),AND('Character Matrix'!$J$19&lt;&gt;"",'Character Matrix'!$Q$19&lt;&gt;"Missing",'Character Matrix'!$Q$19&lt;&gt;"Conflicting")),OR(NOT(ISNUMBER(SEARCH(", DA/RA,",", "&amp;SUBSTITUTE(SUBSTITUTE(G15,", ",", ")," + ",", ")&amp;", "))),AND('Character Matrix'!$J$20&lt;&gt;"",'Character Matrix'!$Q$20&lt;&gt;"Missing",'Character Matrix'!$Q$20&lt;&gt;"Conflicting")),OR(NOT(ISNUMBER(SEARCH(", HA,",", "&amp;SUBSTITUTE(SUBSTITUTE(G15,", ",", ")," + ",", ")&amp;", "))),AND('Character Matrix'!$J$21&lt;&gt;"",'Character Matrix'!$Q$21&lt;&gt;"Missing",'Character Matrix'!$Q$21&lt;&gt;"Conflicting")),OR(NOT(ISNUMBER(SEARCH(", LA,",", "&amp;SUBSTITUTE(SUBSTITUTE(G15,", ",", ")," + ",", ")&amp;", "))),AND('Character Matrix'!$J$22&lt;&gt;"",'Character Matrix'!$Q$22&lt;&gt;"Missing",'Character Matrix'!$Q$22&lt;&gt;"Conflicting")),OR(NOT(ISNUMBER(SEARCH(", NGA,",", "&amp;SUBSTITUTE(SUBSTITUTE(G15,", ",", ")," + ",", ")&amp;", "))),AND('Character Matrix'!$J$23&lt;&gt;"",'Character Matrix'!$Q$23&lt;&gt;"Missing",'Character Matrix'!$Q$23&lt;&gt;"Conflicting")),OR(NOT(ISNUMBER(SEARCH(", PA,",", "&amp;SUBSTITUTE(SUBSTITUTE(G15,", ",", ")," + ",", ")&amp;", "))),AND('Character Matrix'!$J$24&lt;&gt;"",'Character Matrix'!$Q$24&lt;&gt;"Missing",'Character Matrix'!$Q$24&lt;&gt;"Conflicting"))),"PASS","FAIL")</x:f>
        <x:v>PASS</x:v>
      </x:c>
      <x:c r="V15" s="48" t="str">
        <x:f>IF(AND(M15="PASS",Q15="No",R15="No",T15="PASS",U15="PASS",OR(K15="N/A",K15="PASS")),"PASS","FAIL")</x:f>
        <x:v>PASS</x:v>
      </x:c>
    </x:row>
    <x:row r="16" ht="52" customHeight="1">
      <x:c r="A16" s="46" t="n">
        <x:v>5</x:v>
      </x:c>
      <x:c r="B16" s="47" t="str">
        <x:v>Ugat</x:v>
      </x:c>
      <x:c r="C16" s="47" t="n">
        <x:v>5</x:v>
      </x:c>
      <x:c r="D16" s="47" t="n">
        <x:v>1</x:v>
      </x:c>
      <x:c r="E16" s="47" t="str">
        <x:v>IBA</x:v>
      </x:c>
      <x:c r="F16" s="47" t="str">
        <x:v>I + BA</x:v>
      </x:c>
      <x:c r="G16" s="47" t="str">
        <x:v>E/I + BA</x:v>
      </x:c>
      <x:c r="H16" s="47" t="str">
        <x:v>BA</x:v>
      </x:c>
      <x:c r="I16" s="47" t="str">
        <x:v>BA</x:v>
      </x:c>
      <x:c r="J16" s="47" t="str"/>
      <x:c r="K16" s="47" t="str">
        <x:f>IF(D16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16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16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16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16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N/A</x:v>
      </x:c>
      <x:c r="L16" s="47" t="str">
        <x:v>A, E/I, BA, MA, NA, TA</x:v>
      </x:c>
      <x:c r="M16" s="47" t="str">
        <x:f>IF(AND(LEN(L16)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16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16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16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"&amp;SUBSTITUTE(SUBSTITUTE(G16,", ",", ")," + ",", ")&amp;", "))),ISNUMBER(SEARCH(", A,",", "&amp;SUBSTITUTE(SUBSTITUTE(L16,", ",", ")," + ",", ")&amp;", "))),OR(NOT(ISNUMBER(SEARCH(", E/I,",", "&amp;SUBSTITUTE(SUBSTITUTE(G16,", ",", ")," + ",", ")&amp;", "))),ISNUMBER(SEARCH(", E/I,",", "&amp;SUBSTITUTE(SUBSTITUTE(L16,", ",", ")," + ",", ")&amp;", "))),OR(NOT(ISNUMBER(SEARCH(", BA,",", "&amp;SUBSTITUTE(SUBSTITUTE(G16,", ",", ")," + ",", ")&amp;", "))),ISNUMBER(SEARCH(", BA,",", "&amp;SUBSTITUTE(SUBSTITUTE(L16,", ",", ")," + ",", ")&amp;", "))),OR(NOT(ISNUMBER(SEARCH(", MA,",", "&amp;SUBSTITUTE(SUBSTITUTE(G16,", ",", ")," + ",", ")&amp;", "))),ISNUMBER(SEARCH(", MA,",", "&amp;SUBSTITUTE(SUBSTITUTE(L16,", ",", ")," + ",", ")&amp;", "))),OR(NOT(ISNUMBER(SEARCH(", NA,",", "&amp;SUBSTITUTE(SUBSTITUTE(G16,", ",", ")," + ",", ")&amp;", "))),ISNUMBER(SEARCH(", NA,",", "&amp;SUBSTITUTE(SUBSTITUTE(L16,", ",", ")," + ",", ")&amp;", "))),OR(NOT(ISNUMBER(SEARCH(", TA,",", "&amp;SUBSTITUTE(SUBSTITUTE(G16,", ",", ")," + ",", ")&amp;", "))),ISNUMBER(SEARCH(", TA,",", "&amp;SUBSTITUTE(SUBSTITUTE(L16,", ",", ")," + ",", ")&amp;", "))),OR(NOT(ISNUMBER(SEARCH(", O/U,",", "&amp;SUBSTITUTE(SUBSTITUTE(G16,", ",", ")," + ",", ")&amp;", "))),ISNUMBER(SEARCH(", O/U,",", "&amp;SUBSTITUTE(SUBSTITUTE(L16,", ",", ")," + ",", ")&amp;", "))),OR(NOT(ISNUMBER(SEARCH(", KA,",", "&amp;SUBSTITUTE(SUBSTITUTE(G16,", ",", ")," + ",", ")&amp;", "))),ISNUMBER(SEARCH(", KA,",", "&amp;SUBSTITUTE(SUBSTITUTE(L16,", ",", ")," + ",", ")&amp;", "))),OR(NOT(ISNUMBER(SEARCH(", GA,",", "&amp;SUBSTITUTE(SUBSTITUTE(G16,", ",", ")," + ",", ")&amp;", "))),ISNUMBER(SEARCH(", GA,",", "&amp;SUBSTITUTE(SUBSTITUTE(L16,", ",", ")," + ",", ")&amp;", "))),OR(NOT(ISNUMBER(SEARCH(", SA,",", "&amp;SUBSTITUTE(SUBSTITUTE(G16,", ",", ")," + ",", ")&amp;", "))),ISNUMBER(SEARCH(", SA,",", "&amp;SUBSTITUTE(SUBSTITUTE(L16,", ",", ")," + ",", ")&amp;", "))),OR(NOT(ISNUMBER(SEARCH(", WA,",", "&amp;SUBSTITUTE(SUBSTITUTE(G16,", ",", ")," + ",", ")&amp;", "))),ISNUMBER(SEARCH(", WA,",", "&amp;SUBSTITUTE(SUBSTITUTE(L16,", ",", ")," + ",", ")&amp;", "))),OR(NOT(ISNUMBER(SEARCH(", YA,",", "&amp;SUBSTITUTE(SUBSTITUTE(G16,", ",", ")," + ",", ")&amp;", "))),ISNUMBER(SEARCH(", YA,",", "&amp;SUBSTITUTE(SUBSTITUTE(L16,", ",", ")," + ",", ")&amp;", "))),OR(NOT(ISNUMBER(SEARCH(", DA/RA,",", "&amp;SUBSTITUTE(SUBSTITUTE(G16,", ",", ")," + ",", ")&amp;", "))),ISNUMBER(SEARCH(", DA/RA,",", "&amp;SUBSTITUTE(SUBSTITUTE(L16,", ",", ")," + ",", ")&amp;", "))),OR(NOT(ISNUMBER(SEARCH(", HA,",", "&amp;SUBSTITUTE(SUBSTITUTE(G16,", ",", ")," + ",", ")&amp;", "))),ISNUMBER(SEARCH(", HA,",", "&amp;SUBSTITUTE(SUBSTITUTE(L16,", ",", ")," + ",", ")&amp;", "))),OR(NOT(ISNUMBER(SEARCH(", LA,",", "&amp;SUBSTITUTE(SUBSTITUTE(G16,", ",", ")," + ",", ")&amp;", "))),ISNUMBER(SEARCH(", LA,",", "&amp;SUBSTITUTE(SUBSTITUTE(L16,", ",", ")," + ",", ")&amp;", "))),OR(NOT(ISNUMBER(SEARCH(", NGA,",", "&amp;SUBSTITUTE(SUBSTITUTE(G16,", ",", ")," + ",", ")&amp;", "))),ISNUMBER(SEARCH(", NGA,",", "&amp;SUBSTITUTE(SUBSTITUTE(L16,", ",", ")," + ",", ")&amp;", "))),OR(NOT(ISNUMBER(SEARCH(", PA,",", "&amp;SUBSTITUTE(SUBSTITUTE(G16,", ",", ")," + ",", ")&amp;", "))),ISNUMBER(SEARCH(", PA,",", "&amp;SUBSTITUTE(SUBSTITUTE(L16,", ",", ")," + ",", ")&amp;", "))),OR(NOT(ISNUMBER(SEARCH(", A,",", "&amp;SUBSTITUTE(SUBSTITUTE(L15,", ",", ")," + ",", ")&amp;", "))),ISNUMBER(SEARCH(", A,",", "&amp;SUBSTITUTE(SUBSTITUTE(L16,", ",", ")," + ",", ")&amp;", "))),OR(NOT(ISNUMBER(SEARCH(", E/I,",", "&amp;SUBSTITUTE(SUBSTITUTE(L15,", ",", ")," + ",", ")&amp;", "))),ISNUMBER(SEARCH(", E/I,",", "&amp;SUBSTITUTE(SUBSTITUTE(L16,", ",", ")," + ",", ")&amp;", "))),OR(NOT(ISNUMBER(SEARCH(", BA,",", "&amp;SUBSTITUTE(SUBSTITUTE(L15,", ",", ")," + ",", ")&amp;", "))),ISNUMBER(SEARCH(", BA,",", "&amp;SUBSTITUTE(SUBSTITUTE(L16,", ",", ")," + ",", ")&amp;", "))),OR(NOT(ISNUMBER(SEARCH(", MA,",", "&amp;SUBSTITUTE(SUBSTITUTE(L15,", ",", ")," + ",", ")&amp;", "))),ISNUMBER(SEARCH(", MA,",", "&amp;SUBSTITUTE(SUBSTITUTE(L16,", ",", ")," + ",", ")&amp;", "))),OR(NOT(ISNUMBER(SEARCH(", NA,",", "&amp;SUBSTITUTE(SUBSTITUTE(L15,", ",", ")," + ",", ")&amp;", "))),ISNUMBER(SEARCH(", NA,",", "&amp;SUBSTITUTE(SUBSTITUTE(L16,", ",", ")," + ",", ")&amp;", "))),OR(NOT(ISNUMBER(SEARCH(", TA,",", "&amp;SUBSTITUTE(SUBSTITUTE(L15,", ",", ")," + ",", ")&amp;", "))),ISNUMBER(SEARCH(", TA,",", "&amp;SUBSTITUTE(SUBSTITUTE(L16,", ",", ")," + ",", ")&amp;", "))),OR(NOT(ISNUMBER(SEARCH(", O/U,",", "&amp;SUBSTITUTE(SUBSTITUTE(L15,", ",", ")," + ",", ")&amp;", "))),ISNUMBER(SEARCH(", O/U,",", "&amp;SUBSTITUTE(SUBSTITUTE(L16,", ",", ")," + ",", ")&amp;", "))),OR(NOT(ISNUMBER(SEARCH(", KA,",", "&amp;SUBSTITUTE(SUBSTITUTE(L15,", ",", ")," + ",", ")&amp;", "))),ISNUMBER(SEARCH(", KA,",", "&amp;SUBSTITUTE(SUBSTITUTE(L16,", ",", ")," + ",", ")&amp;", "))),OR(NOT(ISNUMBER(SEARCH(", GA,",", "&amp;SUBSTITUTE(SUBSTITUTE(L15,", ",", ")," + ",", ")&amp;", "))),ISNUMBER(SEARCH(", GA,",", "&amp;SUBSTITUTE(SUBSTITUTE(L16,", ",", ")," + ",", ")&amp;", "))),OR(NOT(ISNUMBER(SEARCH(", SA,",", "&amp;SUBSTITUTE(SUBSTITUTE(L15,", ",", ")," + ",", ")&amp;", "))),ISNUMBER(SEARCH(", SA,",", "&amp;SUBSTITUTE(SUBSTITUTE(L16,", ",", ")," + ",", ")&amp;", "))),OR(NOT(ISNUMBER(SEARCH(", WA,",", "&amp;SUBSTITUTE(SUBSTITUTE(L15,", ",", ")," + ",", ")&amp;", "))),ISNUMBER(SEARCH(", WA,",", "&amp;SUBSTITUTE(SUBSTITUTE(L16,", ",", ")," + ",", ")&amp;", "))),OR(NOT(ISNUMBER(SEARCH(", YA,",", "&amp;SUBSTITUTE(SUBSTITUTE(L15,", ",", ")," + ",", ")&amp;", "))),ISNUMBER(SEARCH(", YA,",", "&amp;SUBSTITUTE(SUBSTITUTE(L16,", ",", ")," + ",", ")&amp;", "))),OR(NOT(ISNUMBER(SEARCH(", DA/RA,",", "&amp;SUBSTITUTE(SUBSTITUTE(L15,", ",", ")," + ",", ")&amp;", "))),ISNUMBER(SEARCH(", DA/RA,",", "&amp;SUBSTITUTE(SUBSTITUTE(L16,", ",", ")," + ",", ")&amp;", "))),OR(NOT(ISNUMBER(SEARCH(", HA,",", "&amp;SUBSTITUTE(SUBSTITUTE(L15,", ",", ")," + ",", ")&amp;", "))),ISNUMBER(SEARCH(", HA,",", "&amp;SUBSTITUTE(SUBSTITUTE(L16,", ",", ")," + ",", ")&amp;", "))),OR(NOT(ISNUMBER(SEARCH(", LA,",", "&amp;SUBSTITUTE(SUBSTITUTE(L15,", ",", ")," + ",", ")&amp;", "))),ISNUMBER(SEARCH(", LA,",", "&amp;SUBSTITUTE(SUBSTITUTE(L16,", ",", ")," + ",", ")&amp;", "))),OR(NOT(ISNUMBER(SEARCH(", NGA,",", "&amp;SUBSTITUTE(SUBSTITUTE(L15,", ",", ")," + ",", ")&amp;", "))),ISNUMBER(SEARCH(", NGA,",", "&amp;SUBSTITUTE(SUBSTITUTE(L16,", ",", ")," + ",", ")&amp;", "))),OR(NOT(ISNUMBER(SEARCH(", PA,",", "&amp;SUBSTITUTE(SUBSTITUTE(L15,", ",", ")," + ",", ")&amp;", "))),ISNUMBER(SEARCH(", PA,",", "&amp;SUBSTITUTE(SUBSTITUTE(L16,", ",", ")," + ",", ")&amp;", ")))),"PASS","FAIL")</x:f>
        <x:v>PASS</x:v>
      </x:c>
      <x:c r="N16" s="47" t="str">
        <x:v>Original</x:v>
      </x:c>
      <x:c r="O16" s="47" t="str"/>
      <x:c r="P16" s="47" t="str">
        <x:v>None</x:v>
      </x:c>
      <x:c r="Q16" s="47" t="str">
        <x:f>IF(OR(ISNUMBER(SEARCH("kudlit",LOWER(E16))),ISNUMBER(SEARCH("ᜒ",E16)),ISNUMBER(SEARCH("ᜓ",E16))),"Yes","No")</x:f>
        <x:v>No</x:v>
      </x:c>
      <x:c r="R16" s="47" t="str">
        <x:f>IF(OR(ISNUMBER(SEARCH("BE",E16)),ISNUMBER(SEARCH("BI",E16)),ISNUMBER(SEARCH("BO",E16)),ISNUMBER(SEARCH("BU",E16)),ISNUMBER(SEARCH("DE",E16)),ISNUMBER(SEARCH("DI",E16)),ISNUMBER(SEARCH("DO",E16)),ISNUMBER(SEARCH("DU",E16)),ISNUMBER(SEARCH("GE",E16)),ISNUMBER(SEARCH("GI",E16)),ISNUMBER(SEARCH("GO",E16)),ISNUMBER(SEARCH("GU",E16)),ISNUMBER(SEARCH("HE",E16)),ISNUMBER(SEARCH("HI",E16)),ISNUMBER(SEARCH("HO",E16)),ISNUMBER(SEARCH("HU",E16)),ISNUMBER(SEARCH("KE",E16)),ISNUMBER(SEARCH("KI",E16)),ISNUMBER(SEARCH("KO",E16)),ISNUMBER(SEARCH("KU",E16)),ISNUMBER(SEARCH("LE",E16)),ISNUMBER(SEARCH("LI",E16)),ISNUMBER(SEARCH("LO",E16)),ISNUMBER(SEARCH("LU",E16)),ISNUMBER(SEARCH("ME",E16)),ISNUMBER(SEARCH("MI",E16)),ISNUMBER(SEARCH("MO",E16)),ISNUMBER(SEARCH("MU",E16)),ISNUMBER(SEARCH("NE",E16)),ISNUMBER(SEARCH("NI",E16)),ISNUMBER(SEARCH("NO",E16)),ISNUMBER(SEARCH("NU",E16)),ISNUMBER(SEARCH("PE",E16)),ISNUMBER(SEARCH("PI",E16)),ISNUMBER(SEARCH("PO",E16)),ISNUMBER(SEARCH("PU",E16)),ISNUMBER(SEARCH("RE",E16)),ISNUMBER(SEARCH("RI",E16)),ISNUMBER(SEARCH("RO",E16)),ISNUMBER(SEARCH("RU",E16)),ISNUMBER(SEARCH("SE",E16)),ISNUMBER(SEARCH("SI",E16)),ISNUMBER(SEARCH("SO",E16)),ISNUMBER(SEARCH("SU",E16)),ISNUMBER(SEARCH("TE",E16)),ISNUMBER(SEARCH("TI",E16)),ISNUMBER(SEARCH("TO",E16)),ISNUMBER(SEARCH("TU",E16)),ISNUMBER(SEARCH("WE",E16)),ISNUMBER(SEARCH("WI",E16)),ISNUMBER(SEARCH("WO",E16)),ISNUMBER(SEARCH("WU",E16)),ISNUMBER(SEARCH("YE",E16)),ISNUMBER(SEARCH("YI",E16)),ISNUMBER(SEARCH("YO",E16)),ISNUMBER(SEARCH("YU",E16))),"Yes","No")</x:f>
        <x:v>No</x:v>
      </x:c>
      <x:c r="S16" s="47" t="str">
        <x:v>Era 1 - Ugat!D19 (two final focus words)</x:v>
      </x:c>
      <x:c r="T16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16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16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16," + "))=COUNTA(TEXTSPLIT(G16," + "))),"PASS","FAIL")</x:f>
        <x:v>PASS</x:v>
      </x:c>
      <x:c r="U16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16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"&amp;SUBSTITUTE(SUBSTITUTE(G16,", ",", ")," + ",", ")&amp;", "))),AND('Character Matrix'!$J$8&lt;&gt;"",'Character Matrix'!$Q$8&lt;&gt;"Missing",'Character Matrix'!$Q$8&lt;&gt;"Conflicting")),OR(NOT(ISNUMBER(SEARCH(", E/I,",", "&amp;SUBSTITUTE(SUBSTITUTE(G16,", ",", ")," + ",", ")&amp;", "))),AND('Character Matrix'!$J$9&lt;&gt;"",'Character Matrix'!$Q$9&lt;&gt;"Missing",'Character Matrix'!$Q$9&lt;&gt;"Conflicting")),OR(NOT(ISNUMBER(SEARCH(", BA,",", "&amp;SUBSTITUTE(SUBSTITUTE(G16,", ",", ")," + ",", ")&amp;", "))),AND('Character Matrix'!$J$10&lt;&gt;"",'Character Matrix'!$Q$10&lt;&gt;"Missing",'Character Matrix'!$Q$10&lt;&gt;"Conflicting")),OR(NOT(ISNUMBER(SEARCH(", MA,",", "&amp;SUBSTITUTE(SUBSTITUTE(G16,", ",", ")," + ",", ")&amp;", "))),AND('Character Matrix'!$J$11&lt;&gt;"",'Character Matrix'!$Q$11&lt;&gt;"Missing",'Character Matrix'!$Q$11&lt;&gt;"Conflicting")),OR(NOT(ISNUMBER(SEARCH(", NA,",", "&amp;SUBSTITUTE(SUBSTITUTE(G16,", ",", ")," + ",", ")&amp;", "))),AND('Character Matrix'!$J$12&lt;&gt;"",'Character Matrix'!$Q$12&lt;&gt;"Missing",'Character Matrix'!$Q$12&lt;&gt;"Conflicting")),OR(NOT(ISNUMBER(SEARCH(", TA,",", "&amp;SUBSTITUTE(SUBSTITUTE(G16,", ",", ")," + ",", ")&amp;", "))),AND('Character Matrix'!$J$13&lt;&gt;"",'Character Matrix'!$Q$13&lt;&gt;"Missing",'Character Matrix'!$Q$13&lt;&gt;"Conflicting")),OR(NOT(ISNUMBER(SEARCH(", O/U,",", "&amp;SUBSTITUTE(SUBSTITUTE(G16,", ",", ")," + ",", ")&amp;", "))),AND('Character Matrix'!$J$14&lt;&gt;"",'Character Matrix'!$Q$14&lt;&gt;"Missing",'Character Matrix'!$Q$14&lt;&gt;"Conflicting")),OR(NOT(ISNUMBER(SEARCH(", KA,",", "&amp;SUBSTITUTE(SUBSTITUTE(G16,", ",", ")," + ",", ")&amp;", "))),AND('Character Matrix'!$J$15&lt;&gt;"",'Character Matrix'!$Q$15&lt;&gt;"Missing",'Character Matrix'!$Q$15&lt;&gt;"Conflicting")),OR(NOT(ISNUMBER(SEARCH(", GA,",", "&amp;SUBSTITUTE(SUBSTITUTE(G16,", ",", ")," + ",", ")&amp;", "))),AND('Character Matrix'!$J$16&lt;&gt;"",'Character Matrix'!$Q$16&lt;&gt;"Missing",'Character Matrix'!$Q$16&lt;&gt;"Conflicting")),OR(NOT(ISNUMBER(SEARCH(", SA,",", "&amp;SUBSTITUTE(SUBSTITUTE(G16,", ",", ")," + ",", ")&amp;", "))),AND('Character Matrix'!$J$17&lt;&gt;"",'Character Matrix'!$Q$17&lt;&gt;"Missing",'Character Matrix'!$Q$17&lt;&gt;"Conflicting")),OR(NOT(ISNUMBER(SEARCH(", WA,",", "&amp;SUBSTITUTE(SUBSTITUTE(G16,", ",", ")," + ",", ")&amp;", "))),AND('Character Matrix'!$J$18&lt;&gt;"",'Character Matrix'!$Q$18&lt;&gt;"Missing",'Character Matrix'!$Q$18&lt;&gt;"Conflicting")),OR(NOT(ISNUMBER(SEARCH(", YA,",", "&amp;SUBSTITUTE(SUBSTITUTE(G16,", ",", ")," + ",", ")&amp;", "))),AND('Character Matrix'!$J$19&lt;&gt;"",'Character Matrix'!$Q$19&lt;&gt;"Missing",'Character Matrix'!$Q$19&lt;&gt;"Conflicting")),OR(NOT(ISNUMBER(SEARCH(", DA/RA,",", "&amp;SUBSTITUTE(SUBSTITUTE(G16,", ",", ")," + ",", ")&amp;", "))),AND('Character Matrix'!$J$20&lt;&gt;"",'Character Matrix'!$Q$20&lt;&gt;"Missing",'Character Matrix'!$Q$20&lt;&gt;"Conflicting")),OR(NOT(ISNUMBER(SEARCH(", HA,",", "&amp;SUBSTITUTE(SUBSTITUTE(G16,", ",", ")," + ",", ")&amp;", "))),AND('Character Matrix'!$J$21&lt;&gt;"",'Character Matrix'!$Q$21&lt;&gt;"Missing",'Character Matrix'!$Q$21&lt;&gt;"Conflicting")),OR(NOT(ISNUMBER(SEARCH(", LA,",", "&amp;SUBSTITUTE(SUBSTITUTE(G16,", ",", ")," + ",", ")&amp;", "))),AND('Character Matrix'!$J$22&lt;&gt;"",'Character Matrix'!$Q$22&lt;&gt;"Missing",'Character Matrix'!$Q$22&lt;&gt;"Conflicting")),OR(NOT(ISNUMBER(SEARCH(", NGA,",", "&amp;SUBSTITUTE(SUBSTITUTE(G16,", ",", ")," + ",", ")&amp;", "))),AND('Character Matrix'!$J$23&lt;&gt;"",'Character Matrix'!$Q$23&lt;&gt;"Missing",'Character Matrix'!$Q$23&lt;&gt;"Conflicting")),OR(NOT(ISNUMBER(SEARCH(", PA,",", "&amp;SUBSTITUTE(SUBSTITUTE(G16,", ",", ")," + ",", ")&amp;", "))),AND('Character Matrix'!$J$24&lt;&gt;"",'Character Matrix'!$Q$24&lt;&gt;"Missing",'Character Matrix'!$Q$24&lt;&gt;"Conflicting"))),"PASS","FAIL")</x:f>
        <x:v>PASS</x:v>
      </x:c>
      <x:c r="V16" s="48" t="str">
        <x:f>IF(AND(M16="PASS",Q16="No",R16="No",T16="PASS",U16="PASS",OR(K16="N/A",K16="PASS")),"PASS","FAIL")</x:f>
        <x:v>PASS</x:v>
      </x:c>
    </x:row>
    <x:row r="17" ht="52" customHeight="1">
      <x:c r="A17" s="46" t="n">
        <x:v>5</x:v>
      </x:c>
      <x:c r="B17" s="47" t="str">
        <x:v>Ugat</x:v>
      </x:c>
      <x:c r="C17" s="47" t="n">
        <x:v>5</x:v>
      </x:c>
      <x:c r="D17" s="47" t="n">
        <x:v>2</x:v>
      </x:c>
      <x:c r="E17" s="47" t="str">
        <x:v>MANA</x:v>
      </x:c>
      <x:c r="F17" s="47" t="str">
        <x:v>MA + NA</x:v>
      </x:c>
      <x:c r="G17" s="47" t="str">
        <x:v>MA + NA</x:v>
      </x:c>
      <x:c r="H17" s="47" t="str">
        <x:v>NA</x:v>
      </x:c>
      <x:c r="I17" s="47" t="str">
        <x:v>NA</x:v>
      </x:c>
      <x:c r="J17" s="47" t="str">
        <x:v>NA</x:v>
      </x:c>
      <x:c r="K17" s="47" t="str">
        <x:f>IF(D17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17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17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17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17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PASS</x:v>
      </x:c>
      <x:c r="L17" s="47" t="str">
        <x:v>A, E/I, BA, MA, NA, TA</x:v>
      </x:c>
      <x:c r="M17" s="47" t="str">
        <x:f>IF(AND(LEN(L17)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17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17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17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"&amp;SUBSTITUTE(SUBSTITUTE(G17,", ",", ")," + ",", ")&amp;", "))),ISNUMBER(SEARCH(", A,",", "&amp;SUBSTITUTE(SUBSTITUTE(L17,", ",", ")," + ",", ")&amp;", "))),OR(NOT(ISNUMBER(SEARCH(", E/I,",", "&amp;SUBSTITUTE(SUBSTITUTE(G17,", ",", ")," + ",", ")&amp;", "))),ISNUMBER(SEARCH(", E/I,",", "&amp;SUBSTITUTE(SUBSTITUTE(L17,", ",", ")," + ",", ")&amp;", "))),OR(NOT(ISNUMBER(SEARCH(", BA,",", "&amp;SUBSTITUTE(SUBSTITUTE(G17,", ",", ")," + ",", ")&amp;", "))),ISNUMBER(SEARCH(", BA,",", "&amp;SUBSTITUTE(SUBSTITUTE(L17,", ",", ")," + ",", ")&amp;", "))),OR(NOT(ISNUMBER(SEARCH(", MA,",", "&amp;SUBSTITUTE(SUBSTITUTE(G17,", ",", ")," + ",", ")&amp;", "))),ISNUMBER(SEARCH(", MA,",", "&amp;SUBSTITUTE(SUBSTITUTE(L17,", ",", ")," + ",", ")&amp;", "))),OR(NOT(ISNUMBER(SEARCH(", NA,",", "&amp;SUBSTITUTE(SUBSTITUTE(G17,", ",", ")," + ",", ")&amp;", "))),ISNUMBER(SEARCH(", NA,",", "&amp;SUBSTITUTE(SUBSTITUTE(L17,", ",", ")," + ",", ")&amp;", "))),OR(NOT(ISNUMBER(SEARCH(", TA,",", "&amp;SUBSTITUTE(SUBSTITUTE(G17,", ",", ")," + ",", ")&amp;", "))),ISNUMBER(SEARCH(", TA,",", "&amp;SUBSTITUTE(SUBSTITUTE(L17,", ",", ")," + ",", ")&amp;", "))),OR(NOT(ISNUMBER(SEARCH(", O/U,",", "&amp;SUBSTITUTE(SUBSTITUTE(G17,", ",", ")," + ",", ")&amp;", "))),ISNUMBER(SEARCH(", O/U,",", "&amp;SUBSTITUTE(SUBSTITUTE(L17,", ",", ")," + ",", ")&amp;", "))),OR(NOT(ISNUMBER(SEARCH(", KA,",", "&amp;SUBSTITUTE(SUBSTITUTE(G17,", ",", ")," + ",", ")&amp;", "))),ISNUMBER(SEARCH(", KA,",", "&amp;SUBSTITUTE(SUBSTITUTE(L17,", ",", ")," + ",", ")&amp;", "))),OR(NOT(ISNUMBER(SEARCH(", GA,",", "&amp;SUBSTITUTE(SUBSTITUTE(G17,", ",", ")," + ",", ")&amp;", "))),ISNUMBER(SEARCH(", GA,",", "&amp;SUBSTITUTE(SUBSTITUTE(L17,", ",", ")," + ",", ")&amp;", "))),OR(NOT(ISNUMBER(SEARCH(", SA,",", "&amp;SUBSTITUTE(SUBSTITUTE(G17,", ",", ")," + ",", ")&amp;", "))),ISNUMBER(SEARCH(", SA,",", "&amp;SUBSTITUTE(SUBSTITUTE(L17,", ",", ")," + ",", ")&amp;", "))),OR(NOT(ISNUMBER(SEARCH(", WA,",", "&amp;SUBSTITUTE(SUBSTITUTE(G17,", ",", ")," + ",", ")&amp;", "))),ISNUMBER(SEARCH(", WA,",", "&amp;SUBSTITUTE(SUBSTITUTE(L17,", ",", ")," + ",", ")&amp;", "))),OR(NOT(ISNUMBER(SEARCH(", YA,",", "&amp;SUBSTITUTE(SUBSTITUTE(G17,", ",", ")," + ",", ")&amp;", "))),ISNUMBER(SEARCH(", YA,",", "&amp;SUBSTITUTE(SUBSTITUTE(L17,", ",", ")," + ",", ")&amp;", "))),OR(NOT(ISNUMBER(SEARCH(", DA/RA,",", "&amp;SUBSTITUTE(SUBSTITUTE(G17,", ",", ")," + ",", ")&amp;", "))),ISNUMBER(SEARCH(", DA/RA,",", "&amp;SUBSTITUTE(SUBSTITUTE(L17,", ",", ")," + ",", ")&amp;", "))),OR(NOT(ISNUMBER(SEARCH(", HA,",", "&amp;SUBSTITUTE(SUBSTITUTE(G17,", ",", ")," + ",", ")&amp;", "))),ISNUMBER(SEARCH(", HA,",", "&amp;SUBSTITUTE(SUBSTITUTE(L17,", ",", ")," + ",", ")&amp;", "))),OR(NOT(ISNUMBER(SEARCH(", LA,",", "&amp;SUBSTITUTE(SUBSTITUTE(G17,", ",", ")," + ",", ")&amp;", "))),ISNUMBER(SEARCH(", LA,",", "&amp;SUBSTITUTE(SUBSTITUTE(L17,", ",", ")," + ",", ")&amp;", "))),OR(NOT(ISNUMBER(SEARCH(", NGA,",", "&amp;SUBSTITUTE(SUBSTITUTE(G17,", ",", ")," + ",", ")&amp;", "))),ISNUMBER(SEARCH(", NGA,",", "&amp;SUBSTITUTE(SUBSTITUTE(L17,", ",", ")," + ",", ")&amp;", "))),OR(NOT(ISNUMBER(SEARCH(", PA,",", "&amp;SUBSTITUTE(SUBSTITUTE(G17,", ",", ")," + ",", ")&amp;", "))),ISNUMBER(SEARCH(", PA,",", "&amp;SUBSTITUTE(SUBSTITUTE(L17,", ",", ")," + ",", ")&amp;", "))),OR(NOT(ISNUMBER(SEARCH(", A,",", "&amp;SUBSTITUTE(SUBSTITUTE(L16,", ",", ")," + ",", ")&amp;", "))),ISNUMBER(SEARCH(", A,",", "&amp;SUBSTITUTE(SUBSTITUTE(L17,", ",", ")," + ",", ")&amp;", "))),OR(NOT(ISNUMBER(SEARCH(", E/I,",", "&amp;SUBSTITUTE(SUBSTITUTE(L16,", ",", ")," + ",", ")&amp;", "))),ISNUMBER(SEARCH(", E/I,",", "&amp;SUBSTITUTE(SUBSTITUTE(L17,", ",", ")," + ",", ")&amp;", "))),OR(NOT(ISNUMBER(SEARCH(", BA,",", "&amp;SUBSTITUTE(SUBSTITUTE(L16,", ",", ")," + ",", ")&amp;", "))),ISNUMBER(SEARCH(", BA,",", "&amp;SUBSTITUTE(SUBSTITUTE(L17,", ",", ")," + ",", ")&amp;", "))),OR(NOT(ISNUMBER(SEARCH(", MA,",", "&amp;SUBSTITUTE(SUBSTITUTE(L16,", ",", ")," + ",", ")&amp;", "))),ISNUMBER(SEARCH(", MA,",", "&amp;SUBSTITUTE(SUBSTITUTE(L17,", ",", ")," + ",", ")&amp;", "))),OR(NOT(ISNUMBER(SEARCH(", NA,",", "&amp;SUBSTITUTE(SUBSTITUTE(L16,", ",", ")," + ",", ")&amp;", "))),ISNUMBER(SEARCH(", NA,",", "&amp;SUBSTITUTE(SUBSTITUTE(L17,", ",", ")," + ",", ")&amp;", "))),OR(NOT(ISNUMBER(SEARCH(", TA,",", "&amp;SUBSTITUTE(SUBSTITUTE(L16,", ",", ")," + ",", ")&amp;", "))),ISNUMBER(SEARCH(", TA,",", "&amp;SUBSTITUTE(SUBSTITUTE(L17,", ",", ")," + ",", ")&amp;", "))),OR(NOT(ISNUMBER(SEARCH(", O/U,",", "&amp;SUBSTITUTE(SUBSTITUTE(L16,", ",", ")," + ",", ")&amp;", "))),ISNUMBER(SEARCH(", O/U,",", "&amp;SUBSTITUTE(SUBSTITUTE(L17,", ",", ")," + ",", ")&amp;", "))),OR(NOT(ISNUMBER(SEARCH(", KA,",", "&amp;SUBSTITUTE(SUBSTITUTE(L16,", ",", ")," + ",", ")&amp;", "))),ISNUMBER(SEARCH(", KA,",", "&amp;SUBSTITUTE(SUBSTITUTE(L17,", ",", ")," + ",", ")&amp;", "))),OR(NOT(ISNUMBER(SEARCH(", GA,",", "&amp;SUBSTITUTE(SUBSTITUTE(L16,", ",", ")," + ",", ")&amp;", "))),ISNUMBER(SEARCH(", GA,",", "&amp;SUBSTITUTE(SUBSTITUTE(L17,", ",", ")," + ",", ")&amp;", "))),OR(NOT(ISNUMBER(SEARCH(", SA,",", "&amp;SUBSTITUTE(SUBSTITUTE(L16,", ",", ")," + ",", ")&amp;", "))),ISNUMBER(SEARCH(", SA,",", "&amp;SUBSTITUTE(SUBSTITUTE(L17,", ",", ")," + ",", ")&amp;", "))),OR(NOT(ISNUMBER(SEARCH(", WA,",", "&amp;SUBSTITUTE(SUBSTITUTE(L16,", ",", ")," + ",", ")&amp;", "))),ISNUMBER(SEARCH(", WA,",", "&amp;SUBSTITUTE(SUBSTITUTE(L17,", ",", ")," + ",", ")&amp;", "))),OR(NOT(ISNUMBER(SEARCH(", YA,",", "&amp;SUBSTITUTE(SUBSTITUTE(L16,", ",", ")," + ",", ")&amp;", "))),ISNUMBER(SEARCH(", YA,",", "&amp;SUBSTITUTE(SUBSTITUTE(L17,", ",", ")," + ",", ")&amp;", "))),OR(NOT(ISNUMBER(SEARCH(", DA/RA,",", "&amp;SUBSTITUTE(SUBSTITUTE(L16,", ",", ")," + ",", ")&amp;", "))),ISNUMBER(SEARCH(", DA/RA,",", "&amp;SUBSTITUTE(SUBSTITUTE(L17,", ",", ")," + ",", ")&amp;", "))),OR(NOT(ISNUMBER(SEARCH(", HA,",", "&amp;SUBSTITUTE(SUBSTITUTE(L16,", ",", ")," + ",", ")&amp;", "))),ISNUMBER(SEARCH(", HA,",", "&amp;SUBSTITUTE(SUBSTITUTE(L17,", ",", ")," + ",", ")&amp;", "))),OR(NOT(ISNUMBER(SEARCH(", LA,",", "&amp;SUBSTITUTE(SUBSTITUTE(L16,", ",", ")," + ",", ")&amp;", "))),ISNUMBER(SEARCH(", LA,",", "&amp;SUBSTITUTE(SUBSTITUTE(L17,", ",", ")," + ",", ")&amp;", "))),OR(NOT(ISNUMBER(SEARCH(", NGA,",", "&amp;SUBSTITUTE(SUBSTITUTE(L16,", ",", ")," + ",", ")&amp;", "))),ISNUMBER(SEARCH(", NGA,",", "&amp;SUBSTITUTE(SUBSTITUTE(L17,", ",", ")," + ",", ")&amp;", "))),OR(NOT(ISNUMBER(SEARCH(", PA,",", "&amp;SUBSTITUTE(SUBSTITUTE(L16,", ",", ")," + ",", ")&amp;", "))),ISNUMBER(SEARCH(", PA,",", "&amp;SUBSTITUTE(SUBSTITUTE(L17,", ",", ")," + ",", ")&amp;", ")))),"PASS","FAIL")</x:f>
        <x:v>PASS</x:v>
      </x:c>
      <x:c r="N17" s="47" t="str">
        <x:v>Original</x:v>
      </x:c>
      <x:c r="O17" s="47" t="str"/>
      <x:c r="P17" s="47" t="str">
        <x:v>None</x:v>
      </x:c>
      <x:c r="Q17" s="47" t="str">
        <x:f>IF(OR(ISNUMBER(SEARCH("kudlit",LOWER(E17))),ISNUMBER(SEARCH("ᜒ",E17)),ISNUMBER(SEARCH("ᜓ",E17))),"Yes","No")</x:f>
        <x:v>No</x:v>
      </x:c>
      <x:c r="R17" s="47" t="str">
        <x:f>IF(OR(ISNUMBER(SEARCH("BE",E17)),ISNUMBER(SEARCH("BI",E17)),ISNUMBER(SEARCH("BO",E17)),ISNUMBER(SEARCH("BU",E17)),ISNUMBER(SEARCH("DE",E17)),ISNUMBER(SEARCH("DI",E17)),ISNUMBER(SEARCH("DO",E17)),ISNUMBER(SEARCH("DU",E17)),ISNUMBER(SEARCH("GE",E17)),ISNUMBER(SEARCH("GI",E17)),ISNUMBER(SEARCH("GO",E17)),ISNUMBER(SEARCH("GU",E17)),ISNUMBER(SEARCH("HE",E17)),ISNUMBER(SEARCH("HI",E17)),ISNUMBER(SEARCH("HO",E17)),ISNUMBER(SEARCH("HU",E17)),ISNUMBER(SEARCH("KE",E17)),ISNUMBER(SEARCH("KI",E17)),ISNUMBER(SEARCH("KO",E17)),ISNUMBER(SEARCH("KU",E17)),ISNUMBER(SEARCH("LE",E17)),ISNUMBER(SEARCH("LI",E17)),ISNUMBER(SEARCH("LO",E17)),ISNUMBER(SEARCH("LU",E17)),ISNUMBER(SEARCH("ME",E17)),ISNUMBER(SEARCH("MI",E17)),ISNUMBER(SEARCH("MO",E17)),ISNUMBER(SEARCH("MU",E17)),ISNUMBER(SEARCH("NE",E17)),ISNUMBER(SEARCH("NI",E17)),ISNUMBER(SEARCH("NO",E17)),ISNUMBER(SEARCH("NU",E17)),ISNUMBER(SEARCH("PE",E17)),ISNUMBER(SEARCH("PI",E17)),ISNUMBER(SEARCH("PO",E17)),ISNUMBER(SEARCH("PU",E17)),ISNUMBER(SEARCH("RE",E17)),ISNUMBER(SEARCH("RI",E17)),ISNUMBER(SEARCH("RO",E17)),ISNUMBER(SEARCH("RU",E17)),ISNUMBER(SEARCH("SE",E17)),ISNUMBER(SEARCH("SI",E17)),ISNUMBER(SEARCH("SO",E17)),ISNUMBER(SEARCH("SU",E17)),ISNUMBER(SEARCH("TE",E17)),ISNUMBER(SEARCH("TI",E17)),ISNUMBER(SEARCH("TO",E17)),ISNUMBER(SEARCH("TU",E17)),ISNUMBER(SEARCH("WE",E17)),ISNUMBER(SEARCH("WI",E17)),ISNUMBER(SEARCH("WO",E17)),ISNUMBER(SEARCH("WU",E17)),ISNUMBER(SEARCH("YE",E17)),ISNUMBER(SEARCH("YI",E17)),ISNUMBER(SEARCH("YO",E17)),ISNUMBER(SEARCH("YU",E17))),"Yes","No")</x:f>
        <x:v>No</x:v>
      </x:c>
      <x:c r="S17" s="47" t="str">
        <x:v>Era 1 - Ugat!D19 (two final focus words)</x:v>
      </x:c>
      <x:c r="T17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17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17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17," + "))=COUNTA(TEXTSPLIT(G17," + "))),"PASS","FAIL")</x:f>
        <x:v>PASS</x:v>
      </x:c>
      <x:c r="U17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17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"&amp;SUBSTITUTE(SUBSTITUTE(G17,", ",", ")," + ",", ")&amp;", "))),AND('Character Matrix'!$J$8&lt;&gt;"",'Character Matrix'!$Q$8&lt;&gt;"Missing",'Character Matrix'!$Q$8&lt;&gt;"Conflicting")),OR(NOT(ISNUMBER(SEARCH(", E/I,",", "&amp;SUBSTITUTE(SUBSTITUTE(G17,", ",", ")," + ",", ")&amp;", "))),AND('Character Matrix'!$J$9&lt;&gt;"",'Character Matrix'!$Q$9&lt;&gt;"Missing",'Character Matrix'!$Q$9&lt;&gt;"Conflicting")),OR(NOT(ISNUMBER(SEARCH(", BA,",", "&amp;SUBSTITUTE(SUBSTITUTE(G17,", ",", ")," + ",", ")&amp;", "))),AND('Character Matrix'!$J$10&lt;&gt;"",'Character Matrix'!$Q$10&lt;&gt;"Missing",'Character Matrix'!$Q$10&lt;&gt;"Conflicting")),OR(NOT(ISNUMBER(SEARCH(", MA,",", "&amp;SUBSTITUTE(SUBSTITUTE(G17,", ",", ")," + ",", ")&amp;", "))),AND('Character Matrix'!$J$11&lt;&gt;"",'Character Matrix'!$Q$11&lt;&gt;"Missing",'Character Matrix'!$Q$11&lt;&gt;"Conflicting")),OR(NOT(ISNUMBER(SEARCH(", NA,",", "&amp;SUBSTITUTE(SUBSTITUTE(G17,", ",", ")," + ",", ")&amp;", "))),AND('Character Matrix'!$J$12&lt;&gt;"",'Character Matrix'!$Q$12&lt;&gt;"Missing",'Character Matrix'!$Q$12&lt;&gt;"Conflicting")),OR(NOT(ISNUMBER(SEARCH(", TA,",", "&amp;SUBSTITUTE(SUBSTITUTE(G17,", ",", ")," + ",", ")&amp;", "))),AND('Character Matrix'!$J$13&lt;&gt;"",'Character Matrix'!$Q$13&lt;&gt;"Missing",'Character Matrix'!$Q$13&lt;&gt;"Conflicting")),OR(NOT(ISNUMBER(SEARCH(", O/U,",", "&amp;SUBSTITUTE(SUBSTITUTE(G17,", ",", ")," + ",", ")&amp;", "))),AND('Character Matrix'!$J$14&lt;&gt;"",'Character Matrix'!$Q$14&lt;&gt;"Missing",'Character Matrix'!$Q$14&lt;&gt;"Conflicting")),OR(NOT(ISNUMBER(SEARCH(", KA,",", "&amp;SUBSTITUTE(SUBSTITUTE(G17,", ",", ")," + ",", ")&amp;", "))),AND('Character Matrix'!$J$15&lt;&gt;"",'Character Matrix'!$Q$15&lt;&gt;"Missing",'Character Matrix'!$Q$15&lt;&gt;"Conflicting")),OR(NOT(ISNUMBER(SEARCH(", GA,",", "&amp;SUBSTITUTE(SUBSTITUTE(G17,", ",", ")," + ",", ")&amp;", "))),AND('Character Matrix'!$J$16&lt;&gt;"",'Character Matrix'!$Q$16&lt;&gt;"Missing",'Character Matrix'!$Q$16&lt;&gt;"Conflicting")),OR(NOT(ISNUMBER(SEARCH(", SA,",", "&amp;SUBSTITUTE(SUBSTITUTE(G17,", ",", ")," + ",", ")&amp;", "))),AND('Character Matrix'!$J$17&lt;&gt;"",'Character Matrix'!$Q$17&lt;&gt;"Missing",'Character Matrix'!$Q$17&lt;&gt;"Conflicting")),OR(NOT(ISNUMBER(SEARCH(", WA,",", "&amp;SUBSTITUTE(SUBSTITUTE(G17,", ",", ")," + ",", ")&amp;", "))),AND('Character Matrix'!$J$18&lt;&gt;"",'Character Matrix'!$Q$18&lt;&gt;"Missing",'Character Matrix'!$Q$18&lt;&gt;"Conflicting")),OR(NOT(ISNUMBER(SEARCH(", YA,",", "&amp;SUBSTITUTE(SUBSTITUTE(G17,", ",", ")," + ",", ")&amp;", "))),AND('Character Matrix'!$J$19&lt;&gt;"",'Character Matrix'!$Q$19&lt;&gt;"Missing",'Character Matrix'!$Q$19&lt;&gt;"Conflicting")),OR(NOT(ISNUMBER(SEARCH(", DA/RA,",", "&amp;SUBSTITUTE(SUBSTITUTE(G17,", ",", ")," + ",", ")&amp;", "))),AND('Character Matrix'!$J$20&lt;&gt;"",'Character Matrix'!$Q$20&lt;&gt;"Missing",'Character Matrix'!$Q$20&lt;&gt;"Conflicting")),OR(NOT(ISNUMBER(SEARCH(", HA,",", "&amp;SUBSTITUTE(SUBSTITUTE(G17,", ",", ")," + ",", ")&amp;", "))),AND('Character Matrix'!$J$21&lt;&gt;"",'Character Matrix'!$Q$21&lt;&gt;"Missing",'Character Matrix'!$Q$21&lt;&gt;"Conflicting")),OR(NOT(ISNUMBER(SEARCH(", LA,",", "&amp;SUBSTITUTE(SUBSTITUTE(G17,", ",", ")," + ",", ")&amp;", "))),AND('Character Matrix'!$J$22&lt;&gt;"",'Character Matrix'!$Q$22&lt;&gt;"Missing",'Character Matrix'!$Q$22&lt;&gt;"Conflicting")),OR(NOT(ISNUMBER(SEARCH(", NGA,",", "&amp;SUBSTITUTE(SUBSTITUTE(G17,", ",", ")," + ",", ")&amp;", "))),AND('Character Matrix'!$J$23&lt;&gt;"",'Character Matrix'!$Q$23&lt;&gt;"Missing",'Character Matrix'!$Q$23&lt;&gt;"Conflicting")),OR(NOT(ISNUMBER(SEARCH(", PA,",", "&amp;SUBSTITUTE(SUBSTITUTE(G17,", ",", ")," + ",", ")&amp;", "))),AND('Character Matrix'!$J$24&lt;&gt;"",'Character Matrix'!$Q$24&lt;&gt;"Missing",'Character Matrix'!$Q$24&lt;&gt;"Conflicting"))),"PASS","FAIL")</x:f>
        <x:v>PASS</x:v>
      </x:c>
      <x:c r="V17" s="48" t="str">
        <x:f>IF(AND(M17="PASS",Q17="No",R17="No",T17="PASS",U17="PASS",OR(K17="N/A",K17="PASS")),"PASS","FAIL")</x:f>
        <x:v>PASS</x:v>
      </x:c>
    </x:row>
    <x:row r="18" ht="52" customHeight="1">
      <x:c r="A18" s="46" t="n">
        <x:v>6</x:v>
      </x:c>
      <x:c r="B18" s="47" t="str">
        <x:v>Ugnayan</x:v>
      </x:c>
      <x:c r="C18" s="47" t="n">
        <x:v>1</x:v>
      </x:c>
      <x:c r="D18" s="47" t="n">
        <x:v>1</x:v>
      </x:c>
      <x:c r="E18" s="47" t="str">
        <x:v>AWA</x:v>
      </x:c>
      <x:c r="F18" s="47" t="str">
        <x:v>A + WA</x:v>
      </x:c>
      <x:c r="G18" s="47" t="str">
        <x:v>A + WA</x:v>
      </x:c>
      <x:c r="H18" s="47" t="str">
        <x:v>WA</x:v>
      </x:c>
      <x:c r="I18" s="47" t="str">
        <x:v>WA</x:v>
      </x:c>
      <x:c r="J18" s="47" t="str"/>
      <x:c r="K18" s="47" t="str">
        <x:f>IF(D18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18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18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18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18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N/A</x:v>
      </x:c>
      <x:c r="L18" s="47" t="str">
        <x:v>A, E/I, BA, MA, NA, TA, GA, WA</x:v>
      </x:c>
      <x:c r="M18" s="47" t="str">
        <x:f>IF(AND(LEN(L18)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18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18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18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"&amp;SUBSTITUTE(SUBSTITUTE(G18,", ",", ")," + ",", ")&amp;", "))),ISNUMBER(SEARCH(", A,",", "&amp;SUBSTITUTE(SUBSTITUTE(L18,", ",", ")," + ",", ")&amp;", "))),OR(NOT(ISNUMBER(SEARCH(", E/I,",", "&amp;SUBSTITUTE(SUBSTITUTE(G18,", ",", ")," + ",", ")&amp;", "))),ISNUMBER(SEARCH(", E/I,",", "&amp;SUBSTITUTE(SUBSTITUTE(L18,", ",", ")," + ",", ")&amp;", "))),OR(NOT(ISNUMBER(SEARCH(", BA,",", "&amp;SUBSTITUTE(SUBSTITUTE(G18,", ",", ")," + ",", ")&amp;", "))),ISNUMBER(SEARCH(", BA,",", "&amp;SUBSTITUTE(SUBSTITUTE(L18,", ",", ")," + ",", ")&amp;", "))),OR(NOT(ISNUMBER(SEARCH(", MA,",", "&amp;SUBSTITUTE(SUBSTITUTE(G18,", ",", ")," + ",", ")&amp;", "))),ISNUMBER(SEARCH(", MA,",", "&amp;SUBSTITUTE(SUBSTITUTE(L18,", ",", ")," + ",", ")&amp;", "))),OR(NOT(ISNUMBER(SEARCH(", NA,",", "&amp;SUBSTITUTE(SUBSTITUTE(G18,", ",", ")," + ",", ")&amp;", "))),ISNUMBER(SEARCH(", NA,",", "&amp;SUBSTITUTE(SUBSTITUTE(L18,", ",", ")," + ",", ")&amp;", "))),OR(NOT(ISNUMBER(SEARCH(", TA,",", "&amp;SUBSTITUTE(SUBSTITUTE(G18,", ",", ")," + ",", ")&amp;", "))),ISNUMBER(SEARCH(", TA,",", "&amp;SUBSTITUTE(SUBSTITUTE(L18,", ",", ")," + ",", ")&amp;", "))),OR(NOT(ISNUMBER(SEARCH(", O/U,",", "&amp;SUBSTITUTE(SUBSTITUTE(G18,", ",", ")," + ",", ")&amp;", "))),ISNUMBER(SEARCH(", O/U,",", "&amp;SUBSTITUTE(SUBSTITUTE(L18,", ",", ")," + ",", ")&amp;", "))),OR(NOT(ISNUMBER(SEARCH(", KA,",", "&amp;SUBSTITUTE(SUBSTITUTE(G18,", ",", ")," + ",", ")&amp;", "))),ISNUMBER(SEARCH(", KA,",", "&amp;SUBSTITUTE(SUBSTITUTE(L18,", ",", ")," + ",", ")&amp;", "))),OR(NOT(ISNUMBER(SEARCH(", GA,",", "&amp;SUBSTITUTE(SUBSTITUTE(G18,", ",", ")," + ",", ")&amp;", "))),ISNUMBER(SEARCH(", GA,",", "&amp;SUBSTITUTE(SUBSTITUTE(L18,", ",", ")," + ",", ")&amp;", "))),OR(NOT(ISNUMBER(SEARCH(", SA,",", "&amp;SUBSTITUTE(SUBSTITUTE(G18,", ",", ")," + ",", ")&amp;", "))),ISNUMBER(SEARCH(", SA,",", "&amp;SUBSTITUTE(SUBSTITUTE(L18,", ",", ")," + ",", ")&amp;", "))),OR(NOT(ISNUMBER(SEARCH(", WA,",", "&amp;SUBSTITUTE(SUBSTITUTE(G18,", ",", ")," + ",", ")&amp;", "))),ISNUMBER(SEARCH(", WA,",", "&amp;SUBSTITUTE(SUBSTITUTE(L18,", ",", ")," + ",", ")&amp;", "))),OR(NOT(ISNUMBER(SEARCH(", YA,",", "&amp;SUBSTITUTE(SUBSTITUTE(G18,", ",", ")," + ",", ")&amp;", "))),ISNUMBER(SEARCH(", YA,",", "&amp;SUBSTITUTE(SUBSTITUTE(L18,", ",", ")," + ",", ")&amp;", "))),OR(NOT(ISNUMBER(SEARCH(", DA/RA,",", "&amp;SUBSTITUTE(SUBSTITUTE(G18,", ",", ")," + ",", ")&amp;", "))),ISNUMBER(SEARCH(", DA/RA,",", "&amp;SUBSTITUTE(SUBSTITUTE(L18,", ",", ")," + ",", ")&amp;", "))),OR(NOT(ISNUMBER(SEARCH(", HA,",", "&amp;SUBSTITUTE(SUBSTITUTE(G18,", ",", ")," + ",", ")&amp;", "))),ISNUMBER(SEARCH(", HA,",", "&amp;SUBSTITUTE(SUBSTITUTE(L18,", ",", ")," + ",", ")&amp;", "))),OR(NOT(ISNUMBER(SEARCH(", LA,",", "&amp;SUBSTITUTE(SUBSTITUTE(G18,", ",", ")," + ",", ")&amp;", "))),ISNUMBER(SEARCH(", LA,",", "&amp;SUBSTITUTE(SUBSTITUTE(L18,", ",", ")," + ",", ")&amp;", "))),OR(NOT(ISNUMBER(SEARCH(", NGA,",", "&amp;SUBSTITUTE(SUBSTITUTE(G18,", ",", ")," + ",", ")&amp;", "))),ISNUMBER(SEARCH(", NGA,",", "&amp;SUBSTITUTE(SUBSTITUTE(L18,", ",", ")," + ",", ")&amp;", "))),OR(NOT(ISNUMBER(SEARCH(", PA,",", "&amp;SUBSTITUTE(SUBSTITUTE(G18,", ",", ")," + ",", ")&amp;", "))),ISNUMBER(SEARCH(", PA,",", "&amp;SUBSTITUTE(SUBSTITUTE(L18,", ",", ")," + ",", ")&amp;", "))),OR(NOT(ISNUMBER(SEARCH(", A,",", "&amp;SUBSTITUTE(SUBSTITUTE(L17,", ",", ")," + ",", ")&amp;", "))),ISNUMBER(SEARCH(", A,",", "&amp;SUBSTITUTE(SUBSTITUTE(L18,", ",", ")," + ",", ")&amp;", "))),OR(NOT(ISNUMBER(SEARCH(", E/I,",", "&amp;SUBSTITUTE(SUBSTITUTE(L17,", ",", ")," + ",", ")&amp;", "))),ISNUMBER(SEARCH(", E/I,",", "&amp;SUBSTITUTE(SUBSTITUTE(L18,", ",", ")," + ",", ")&amp;", "))),OR(NOT(ISNUMBER(SEARCH(", BA,",", "&amp;SUBSTITUTE(SUBSTITUTE(L17,", ",", ")," + ",", ")&amp;", "))),ISNUMBER(SEARCH(", BA,",", "&amp;SUBSTITUTE(SUBSTITUTE(L18,", ",", ")," + ",", ")&amp;", "))),OR(NOT(ISNUMBER(SEARCH(", MA,",", "&amp;SUBSTITUTE(SUBSTITUTE(L17,", ",", ")," + ",", ")&amp;", "))),ISNUMBER(SEARCH(", MA,",", "&amp;SUBSTITUTE(SUBSTITUTE(L18,", ",", ")," + ",", ")&amp;", "))),OR(NOT(ISNUMBER(SEARCH(", NA,",", "&amp;SUBSTITUTE(SUBSTITUTE(L17,", ",", ")," + ",", ")&amp;", "))),ISNUMBER(SEARCH(", NA,",", "&amp;SUBSTITUTE(SUBSTITUTE(L18,", ",", ")," + ",", ")&amp;", "))),OR(NOT(ISNUMBER(SEARCH(", TA,",", "&amp;SUBSTITUTE(SUBSTITUTE(L17,", ",", ")," + ",", ")&amp;", "))),ISNUMBER(SEARCH(", TA,",", "&amp;SUBSTITUTE(SUBSTITUTE(L18,", ",", ")," + ",", ")&amp;", "))),OR(NOT(ISNUMBER(SEARCH(", O/U,",", "&amp;SUBSTITUTE(SUBSTITUTE(L17,", ",", ")," + ",", ")&amp;", "))),ISNUMBER(SEARCH(", O/U,",", "&amp;SUBSTITUTE(SUBSTITUTE(L18,", ",", ")," + ",", ")&amp;", "))),OR(NOT(ISNUMBER(SEARCH(", KA,",", "&amp;SUBSTITUTE(SUBSTITUTE(L17,", ",", ")," + ",", ")&amp;", "))),ISNUMBER(SEARCH(", KA,",", "&amp;SUBSTITUTE(SUBSTITUTE(L18,", ",", ")," + ",", ")&amp;", "))),OR(NOT(ISNUMBER(SEARCH(", GA,",", "&amp;SUBSTITUTE(SUBSTITUTE(L17,", ",", ")," + ",", ")&amp;", "))),ISNUMBER(SEARCH(", GA,",", "&amp;SUBSTITUTE(SUBSTITUTE(L18,", ",", ")," + ",", ")&amp;", "))),OR(NOT(ISNUMBER(SEARCH(", SA,",", "&amp;SUBSTITUTE(SUBSTITUTE(L17,", ",", ")," + ",", ")&amp;", "))),ISNUMBER(SEARCH(", SA,",", "&amp;SUBSTITUTE(SUBSTITUTE(L18,", ",", ")," + ",", ")&amp;", "))),OR(NOT(ISNUMBER(SEARCH(", WA,",", "&amp;SUBSTITUTE(SUBSTITUTE(L17,", ",", ")," + ",", ")&amp;", "))),ISNUMBER(SEARCH(", WA,",", "&amp;SUBSTITUTE(SUBSTITUTE(L18,", ",", ")," + ",", ")&amp;", "))),OR(NOT(ISNUMBER(SEARCH(", YA,",", "&amp;SUBSTITUTE(SUBSTITUTE(L17,", ",", ")," + ",", ")&amp;", "))),ISNUMBER(SEARCH(", YA,",", "&amp;SUBSTITUTE(SUBSTITUTE(L18,", ",", ")," + ",", ")&amp;", "))),OR(NOT(ISNUMBER(SEARCH(", DA/RA,",", "&amp;SUBSTITUTE(SUBSTITUTE(L17,", ",", ")," + ",", ")&amp;", "))),ISNUMBER(SEARCH(", DA/RA,",", "&amp;SUBSTITUTE(SUBSTITUTE(L18,", ",", ")," + ",", ")&amp;", "))),OR(NOT(ISNUMBER(SEARCH(", HA,",", "&amp;SUBSTITUTE(SUBSTITUTE(L17,", ",", ")," + ",", ")&amp;", "))),ISNUMBER(SEARCH(", HA,",", "&amp;SUBSTITUTE(SUBSTITUTE(L18,", ",", ")," + ",", ")&amp;", "))),OR(NOT(ISNUMBER(SEARCH(", LA,",", "&amp;SUBSTITUTE(SUBSTITUTE(L17,", ",", ")," + ",", ")&amp;", "))),ISNUMBER(SEARCH(", LA,",", "&amp;SUBSTITUTE(SUBSTITUTE(L18,", ",", ")," + ",", ")&amp;", "))),OR(NOT(ISNUMBER(SEARCH(", NGA,",", "&amp;SUBSTITUTE(SUBSTITUTE(L17,", ",", ")," + ",", ")&amp;", "))),ISNUMBER(SEARCH(", NGA,",", "&amp;SUBSTITUTE(SUBSTITUTE(L18,", ",", ")," + ",", ")&amp;", "))),OR(NOT(ISNUMBER(SEARCH(", PA,",", "&amp;SUBSTITUTE(SUBSTITUTE(L17,", ",", ")," + ",", ")&amp;", "))),ISNUMBER(SEARCH(", PA,",", "&amp;SUBSTITUTE(SUBSTITUTE(L18,", ",", ")," + ",", ")&amp;", ")))),"PASS","FAIL")</x:f>
        <x:v>PASS</x:v>
      </x:c>
      <x:c r="N18" s="47" t="str">
        <x:v>Original</x:v>
      </x:c>
      <x:c r="O18" s="47" t="str"/>
      <x:c r="P18" s="47" t="str">
        <x:v>None</x:v>
      </x:c>
      <x:c r="Q18" s="47" t="str">
        <x:f>IF(OR(ISNUMBER(SEARCH("kudlit",LOWER(E18))),ISNUMBER(SEARCH("ᜒ",E18)),ISNUMBER(SEARCH("ᜓ",E18))),"Yes","No")</x:f>
        <x:v>No</x:v>
      </x:c>
      <x:c r="R18" s="47" t="str">
        <x:f>IF(OR(ISNUMBER(SEARCH("BE",E18)),ISNUMBER(SEARCH("BI",E18)),ISNUMBER(SEARCH("BO",E18)),ISNUMBER(SEARCH("BU",E18)),ISNUMBER(SEARCH("DE",E18)),ISNUMBER(SEARCH("DI",E18)),ISNUMBER(SEARCH("DO",E18)),ISNUMBER(SEARCH("DU",E18)),ISNUMBER(SEARCH("GE",E18)),ISNUMBER(SEARCH("GI",E18)),ISNUMBER(SEARCH("GO",E18)),ISNUMBER(SEARCH("GU",E18)),ISNUMBER(SEARCH("HE",E18)),ISNUMBER(SEARCH("HI",E18)),ISNUMBER(SEARCH("HO",E18)),ISNUMBER(SEARCH("HU",E18)),ISNUMBER(SEARCH("KE",E18)),ISNUMBER(SEARCH("KI",E18)),ISNUMBER(SEARCH("KO",E18)),ISNUMBER(SEARCH("KU",E18)),ISNUMBER(SEARCH("LE",E18)),ISNUMBER(SEARCH("LI",E18)),ISNUMBER(SEARCH("LO",E18)),ISNUMBER(SEARCH("LU",E18)),ISNUMBER(SEARCH("ME",E18)),ISNUMBER(SEARCH("MI",E18)),ISNUMBER(SEARCH("MO",E18)),ISNUMBER(SEARCH("MU",E18)),ISNUMBER(SEARCH("NE",E18)),ISNUMBER(SEARCH("NI",E18)),ISNUMBER(SEARCH("NO",E18)),ISNUMBER(SEARCH("NU",E18)),ISNUMBER(SEARCH("PE",E18)),ISNUMBER(SEARCH("PI",E18)),ISNUMBER(SEARCH("PO",E18)),ISNUMBER(SEARCH("PU",E18)),ISNUMBER(SEARCH("RE",E18)),ISNUMBER(SEARCH("RI",E18)),ISNUMBER(SEARCH("RO",E18)),ISNUMBER(SEARCH("RU",E18)),ISNUMBER(SEARCH("SE",E18)),ISNUMBER(SEARCH("SI",E18)),ISNUMBER(SEARCH("SO",E18)),ISNUMBER(SEARCH("SU",E18)),ISNUMBER(SEARCH("TE",E18)),ISNUMBER(SEARCH("TI",E18)),ISNUMBER(SEARCH("TO",E18)),ISNUMBER(SEARCH("TU",E18)),ISNUMBER(SEARCH("WE",E18)),ISNUMBER(SEARCH("WI",E18)),ISNUMBER(SEARCH("WO",E18)),ISNUMBER(SEARCH("WU",E18)),ISNUMBER(SEARCH("YE",E18)),ISNUMBER(SEARCH("YI",E18)),ISNUMBER(SEARCH("YO",E18)),ISNUMBER(SEARCH("YU",E18))),"Yes","No")</x:f>
        <x:v>No</x:v>
      </x:c>
      <x:c r="S18" s="47" t="str">
        <x:v>Era 2 - Ugnayan!D15</x:v>
      </x:c>
      <x:c r="T18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18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18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18," + "))=COUNTA(TEXTSPLIT(G18," + "))),"PASS","FAIL")</x:f>
        <x:v>PASS</x:v>
      </x:c>
      <x:c r="U18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18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"&amp;SUBSTITUTE(SUBSTITUTE(G18,", ",", ")," + ",", ")&amp;", "))),AND('Character Matrix'!$J$8&lt;&gt;"",'Character Matrix'!$Q$8&lt;&gt;"Missing",'Character Matrix'!$Q$8&lt;&gt;"Conflicting")),OR(NOT(ISNUMBER(SEARCH(", E/I,",", "&amp;SUBSTITUTE(SUBSTITUTE(G18,", ",", ")," + ",", ")&amp;", "))),AND('Character Matrix'!$J$9&lt;&gt;"",'Character Matrix'!$Q$9&lt;&gt;"Missing",'Character Matrix'!$Q$9&lt;&gt;"Conflicting")),OR(NOT(ISNUMBER(SEARCH(", BA,",", "&amp;SUBSTITUTE(SUBSTITUTE(G18,", ",", ")," + ",", ")&amp;", "))),AND('Character Matrix'!$J$10&lt;&gt;"",'Character Matrix'!$Q$10&lt;&gt;"Missing",'Character Matrix'!$Q$10&lt;&gt;"Conflicting")),OR(NOT(ISNUMBER(SEARCH(", MA,",", "&amp;SUBSTITUTE(SUBSTITUTE(G18,", ",", ")," + ",", ")&amp;", "))),AND('Character Matrix'!$J$11&lt;&gt;"",'Character Matrix'!$Q$11&lt;&gt;"Missing",'Character Matrix'!$Q$11&lt;&gt;"Conflicting")),OR(NOT(ISNUMBER(SEARCH(", NA,",", "&amp;SUBSTITUTE(SUBSTITUTE(G18,", ",", ")," + ",", ")&amp;", "))),AND('Character Matrix'!$J$12&lt;&gt;"",'Character Matrix'!$Q$12&lt;&gt;"Missing",'Character Matrix'!$Q$12&lt;&gt;"Conflicting")),OR(NOT(ISNUMBER(SEARCH(", TA,",", "&amp;SUBSTITUTE(SUBSTITUTE(G18,", ",", ")," + ",", ")&amp;", "))),AND('Character Matrix'!$J$13&lt;&gt;"",'Character Matrix'!$Q$13&lt;&gt;"Missing",'Character Matrix'!$Q$13&lt;&gt;"Conflicting")),OR(NOT(ISNUMBER(SEARCH(", O/U,",", "&amp;SUBSTITUTE(SUBSTITUTE(G18,", ",", ")," + ",", ")&amp;", "))),AND('Character Matrix'!$J$14&lt;&gt;"",'Character Matrix'!$Q$14&lt;&gt;"Missing",'Character Matrix'!$Q$14&lt;&gt;"Conflicting")),OR(NOT(ISNUMBER(SEARCH(", KA,",", "&amp;SUBSTITUTE(SUBSTITUTE(G18,", ",", ")," + ",", ")&amp;", "))),AND('Character Matrix'!$J$15&lt;&gt;"",'Character Matrix'!$Q$15&lt;&gt;"Missing",'Character Matrix'!$Q$15&lt;&gt;"Conflicting")),OR(NOT(ISNUMBER(SEARCH(", GA,",", "&amp;SUBSTITUTE(SUBSTITUTE(G18,", ",", ")," + ",", ")&amp;", "))),AND('Character Matrix'!$J$16&lt;&gt;"",'Character Matrix'!$Q$16&lt;&gt;"Missing",'Character Matrix'!$Q$16&lt;&gt;"Conflicting")),OR(NOT(ISNUMBER(SEARCH(", SA,",", "&amp;SUBSTITUTE(SUBSTITUTE(G18,", ",", ")," + ",", ")&amp;", "))),AND('Character Matrix'!$J$17&lt;&gt;"",'Character Matrix'!$Q$17&lt;&gt;"Missing",'Character Matrix'!$Q$17&lt;&gt;"Conflicting")),OR(NOT(ISNUMBER(SEARCH(", WA,",", "&amp;SUBSTITUTE(SUBSTITUTE(G18,", ",", ")," + ",", ")&amp;", "))),AND('Character Matrix'!$J$18&lt;&gt;"",'Character Matrix'!$Q$18&lt;&gt;"Missing",'Character Matrix'!$Q$18&lt;&gt;"Conflicting")),OR(NOT(ISNUMBER(SEARCH(", YA,",", "&amp;SUBSTITUTE(SUBSTITUTE(G18,", ",", ")," + ",", ")&amp;", "))),AND('Character Matrix'!$J$19&lt;&gt;"",'Character Matrix'!$Q$19&lt;&gt;"Missing",'Character Matrix'!$Q$19&lt;&gt;"Conflicting")),OR(NOT(ISNUMBER(SEARCH(", DA/RA,",", "&amp;SUBSTITUTE(SUBSTITUTE(G18,", ",", ")," + ",", ")&amp;", "))),AND('Character Matrix'!$J$20&lt;&gt;"",'Character Matrix'!$Q$20&lt;&gt;"Missing",'Character Matrix'!$Q$20&lt;&gt;"Conflicting")),OR(NOT(ISNUMBER(SEARCH(", HA,",", "&amp;SUBSTITUTE(SUBSTITUTE(G18,", ",", ")," + ",", ")&amp;", "))),AND('Character Matrix'!$J$21&lt;&gt;"",'Character Matrix'!$Q$21&lt;&gt;"Missing",'Character Matrix'!$Q$21&lt;&gt;"Conflicting")),OR(NOT(ISNUMBER(SEARCH(", LA,",", "&amp;SUBSTITUTE(SUBSTITUTE(G18,", ",", ")," + ",", ")&amp;", "))),AND('Character Matrix'!$J$22&lt;&gt;"",'Character Matrix'!$Q$22&lt;&gt;"Missing",'Character Matrix'!$Q$22&lt;&gt;"Conflicting")),OR(NOT(ISNUMBER(SEARCH(", NGA,",", "&amp;SUBSTITUTE(SUBSTITUTE(G18,", ",", ")," + ",", ")&amp;", "))),AND('Character Matrix'!$J$23&lt;&gt;"",'Character Matrix'!$Q$23&lt;&gt;"Missing",'Character Matrix'!$Q$23&lt;&gt;"Conflicting")),OR(NOT(ISNUMBER(SEARCH(", PA,",", "&amp;SUBSTITUTE(SUBSTITUTE(G18,", ",", ")," + ",", ")&amp;", "))),AND('Character Matrix'!$J$24&lt;&gt;"",'Character Matrix'!$Q$24&lt;&gt;"Missing",'Character Matrix'!$Q$24&lt;&gt;"Conflicting"))),"PASS","FAIL")</x:f>
        <x:v>PASS</x:v>
      </x:c>
      <x:c r="V18" s="48" t="str">
        <x:f>IF(AND(M18="PASS",Q18="No",R18="No",T18="PASS",U18="PASS",OR(K18="N/A",K18="PASS")),"PASS","FAIL")</x:f>
        <x:v>PASS</x:v>
      </x:c>
    </x:row>
    <x:row r="19" ht="52" customHeight="1">
      <x:c r="A19" s="46" t="n">
        <x:v>6</x:v>
      </x:c>
      <x:c r="B19" s="47" t="str">
        <x:v>Ugnayan</x:v>
      </x:c>
      <x:c r="C19" s="47" t="n">
        <x:v>1</x:v>
      </x:c>
      <x:c r="D19" s="47" t="n">
        <x:v>2</x:v>
      </x:c>
      <x:c r="E19" s="47" t="str">
        <x:v>GAWA</x:v>
      </x:c>
      <x:c r="F19" s="47" t="str">
        <x:v>GA + WA</x:v>
      </x:c>
      <x:c r="G19" s="47" t="str">
        <x:v>GA + WA</x:v>
      </x:c>
      <x:c r="H19" s="47" t="str">
        <x:v>WA</x:v>
      </x:c>
      <x:c r="I19" s="47" t="str">
        <x:v>WA</x:v>
      </x:c>
      <x:c r="J19" s="47" t="str">
        <x:v>WA</x:v>
      </x:c>
      <x:c r="K19" s="47" t="str">
        <x:f>IF(D19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19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19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19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19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PASS</x:v>
      </x:c>
      <x:c r="L19" s="47" t="str">
        <x:v>A, E/I, BA, MA, NA, TA, GA, WA</x:v>
      </x:c>
      <x:c r="M19" s="47" t="str">
        <x:f>IF(AND(LEN(L19)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19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19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19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"&amp;SUBSTITUTE(SUBSTITUTE(G19,", ",", ")," + ",", ")&amp;", "))),ISNUMBER(SEARCH(", A,",", "&amp;SUBSTITUTE(SUBSTITUTE(L19,", ",", ")," + ",", ")&amp;", "))),OR(NOT(ISNUMBER(SEARCH(", E/I,",", "&amp;SUBSTITUTE(SUBSTITUTE(G19,", ",", ")," + ",", ")&amp;", "))),ISNUMBER(SEARCH(", E/I,",", "&amp;SUBSTITUTE(SUBSTITUTE(L19,", ",", ")," + ",", ")&amp;", "))),OR(NOT(ISNUMBER(SEARCH(", BA,",", "&amp;SUBSTITUTE(SUBSTITUTE(G19,", ",", ")," + ",", ")&amp;", "))),ISNUMBER(SEARCH(", BA,",", "&amp;SUBSTITUTE(SUBSTITUTE(L19,", ",", ")," + ",", ")&amp;", "))),OR(NOT(ISNUMBER(SEARCH(", MA,",", "&amp;SUBSTITUTE(SUBSTITUTE(G19,", ",", ")," + ",", ")&amp;", "))),ISNUMBER(SEARCH(", MA,",", "&amp;SUBSTITUTE(SUBSTITUTE(L19,", ",", ")," + ",", ")&amp;", "))),OR(NOT(ISNUMBER(SEARCH(", NA,",", "&amp;SUBSTITUTE(SUBSTITUTE(G19,", ",", ")," + ",", ")&amp;", "))),ISNUMBER(SEARCH(", NA,",", "&amp;SUBSTITUTE(SUBSTITUTE(L19,", ",", ")," + ",", ")&amp;", "))),OR(NOT(ISNUMBER(SEARCH(", TA,",", "&amp;SUBSTITUTE(SUBSTITUTE(G19,", ",", ")," + ",", ")&amp;", "))),ISNUMBER(SEARCH(", TA,",", "&amp;SUBSTITUTE(SUBSTITUTE(L19,", ",", ")," + ",", ")&amp;", "))),OR(NOT(ISNUMBER(SEARCH(", O/U,",", "&amp;SUBSTITUTE(SUBSTITUTE(G19,", ",", ")," + ",", ")&amp;", "))),ISNUMBER(SEARCH(", O/U,",", "&amp;SUBSTITUTE(SUBSTITUTE(L19,", ",", ")," + ",", ")&amp;", "))),OR(NOT(ISNUMBER(SEARCH(", KA,",", "&amp;SUBSTITUTE(SUBSTITUTE(G19,", ",", ")," + ",", ")&amp;", "))),ISNUMBER(SEARCH(", KA,",", "&amp;SUBSTITUTE(SUBSTITUTE(L19,", ",", ")," + ",", ")&amp;", "))),OR(NOT(ISNUMBER(SEARCH(", GA,",", "&amp;SUBSTITUTE(SUBSTITUTE(G19,", ",", ")," + ",", ")&amp;", "))),ISNUMBER(SEARCH(", GA,",", "&amp;SUBSTITUTE(SUBSTITUTE(L19,", ",", ")," + ",", ")&amp;", "))),OR(NOT(ISNUMBER(SEARCH(", SA,",", "&amp;SUBSTITUTE(SUBSTITUTE(G19,", ",", ")," + ",", ")&amp;", "))),ISNUMBER(SEARCH(", SA,",", "&amp;SUBSTITUTE(SUBSTITUTE(L19,", ",", ")," + ",", ")&amp;", "))),OR(NOT(ISNUMBER(SEARCH(", WA,",", "&amp;SUBSTITUTE(SUBSTITUTE(G19,", ",", ")," + ",", ")&amp;", "))),ISNUMBER(SEARCH(", WA,",", "&amp;SUBSTITUTE(SUBSTITUTE(L19,", ",", ")," + ",", ")&amp;", "))),OR(NOT(ISNUMBER(SEARCH(", YA,",", "&amp;SUBSTITUTE(SUBSTITUTE(G19,", ",", ")," + ",", ")&amp;", "))),ISNUMBER(SEARCH(", YA,",", "&amp;SUBSTITUTE(SUBSTITUTE(L19,", ",", ")," + ",", ")&amp;", "))),OR(NOT(ISNUMBER(SEARCH(", DA/RA,",", "&amp;SUBSTITUTE(SUBSTITUTE(G19,", ",", ")," + ",", ")&amp;", "))),ISNUMBER(SEARCH(", DA/RA,",", "&amp;SUBSTITUTE(SUBSTITUTE(L19,", ",", ")," + ",", ")&amp;", "))),OR(NOT(ISNUMBER(SEARCH(", HA,",", "&amp;SUBSTITUTE(SUBSTITUTE(G19,", ",", ")," + ",", ")&amp;", "))),ISNUMBER(SEARCH(", HA,",", "&amp;SUBSTITUTE(SUBSTITUTE(L19,", ",", ")," + ",", ")&amp;", "))),OR(NOT(ISNUMBER(SEARCH(", LA,",", "&amp;SUBSTITUTE(SUBSTITUTE(G19,", ",", ")," + ",", ")&amp;", "))),ISNUMBER(SEARCH(", LA,",", "&amp;SUBSTITUTE(SUBSTITUTE(L19,", ",", ")," + ",", ")&amp;", "))),OR(NOT(ISNUMBER(SEARCH(", NGA,",", "&amp;SUBSTITUTE(SUBSTITUTE(G19,", ",", ")," + ",", ")&amp;", "))),ISNUMBER(SEARCH(", NGA,",", "&amp;SUBSTITUTE(SUBSTITUTE(L19,", ",", ")," + ",", ")&amp;", "))),OR(NOT(ISNUMBER(SEARCH(", PA,",", "&amp;SUBSTITUTE(SUBSTITUTE(G19,", ",", ")," + ",", ")&amp;", "))),ISNUMBER(SEARCH(", PA,",", "&amp;SUBSTITUTE(SUBSTITUTE(L19,", ",", ")," + ",", ")&amp;", "))),OR(NOT(ISNUMBER(SEARCH(", A,",", "&amp;SUBSTITUTE(SUBSTITUTE(L18,", ",", ")," + ",", ")&amp;", "))),ISNUMBER(SEARCH(", A,",", "&amp;SUBSTITUTE(SUBSTITUTE(L19,", ",", ")," + ",", ")&amp;", "))),OR(NOT(ISNUMBER(SEARCH(", E/I,",", "&amp;SUBSTITUTE(SUBSTITUTE(L18,", ",", ")," + ",", ")&amp;", "))),ISNUMBER(SEARCH(", E/I,",", "&amp;SUBSTITUTE(SUBSTITUTE(L19,", ",", ")," + ",", ")&amp;", "))),OR(NOT(ISNUMBER(SEARCH(", BA,",", "&amp;SUBSTITUTE(SUBSTITUTE(L18,", ",", ")," + ",", ")&amp;", "))),ISNUMBER(SEARCH(", BA,",", "&amp;SUBSTITUTE(SUBSTITUTE(L19,", ",", ")," + ",", ")&amp;", "))),OR(NOT(ISNUMBER(SEARCH(", MA,",", "&amp;SUBSTITUTE(SUBSTITUTE(L18,", ",", ")," + ",", ")&amp;", "))),ISNUMBER(SEARCH(", MA,",", "&amp;SUBSTITUTE(SUBSTITUTE(L19,", ",", ")," + ",", ")&amp;", "))),OR(NOT(ISNUMBER(SEARCH(", NA,",", "&amp;SUBSTITUTE(SUBSTITUTE(L18,", ",", ")," + ",", ")&amp;", "))),ISNUMBER(SEARCH(", NA,",", "&amp;SUBSTITUTE(SUBSTITUTE(L19,", ",", ")," + ",", ")&amp;", "))),OR(NOT(ISNUMBER(SEARCH(", TA,",", "&amp;SUBSTITUTE(SUBSTITUTE(L18,", ",", ")," + ",", ")&amp;", "))),ISNUMBER(SEARCH(", TA,",", "&amp;SUBSTITUTE(SUBSTITUTE(L19,", ",", ")," + ",", ")&amp;", "))),OR(NOT(ISNUMBER(SEARCH(", O/U,",", "&amp;SUBSTITUTE(SUBSTITUTE(L18,", ",", ")," + ",", ")&amp;", "))),ISNUMBER(SEARCH(", O/U,",", "&amp;SUBSTITUTE(SUBSTITUTE(L19,", ",", ")," + ",", ")&amp;", "))),OR(NOT(ISNUMBER(SEARCH(", KA,",", "&amp;SUBSTITUTE(SUBSTITUTE(L18,", ",", ")," + ",", ")&amp;", "))),ISNUMBER(SEARCH(", KA,",", "&amp;SUBSTITUTE(SUBSTITUTE(L19,", ",", ")," + ",", ")&amp;", "))),OR(NOT(ISNUMBER(SEARCH(", GA,",", "&amp;SUBSTITUTE(SUBSTITUTE(L18,", ",", ")," + ",", ")&amp;", "))),ISNUMBER(SEARCH(", GA,",", "&amp;SUBSTITUTE(SUBSTITUTE(L19,", ",", ")," + ",", ")&amp;", "))),OR(NOT(ISNUMBER(SEARCH(", SA,",", "&amp;SUBSTITUTE(SUBSTITUTE(L18,", ",", ")," + ",", ")&amp;", "))),ISNUMBER(SEARCH(", SA,",", "&amp;SUBSTITUTE(SUBSTITUTE(L19,", ",", ")," + ",", ")&amp;", "))),OR(NOT(ISNUMBER(SEARCH(", WA,",", "&amp;SUBSTITUTE(SUBSTITUTE(L18,", ",", ")," + ",", ")&amp;", "))),ISNUMBER(SEARCH(", WA,",", "&amp;SUBSTITUTE(SUBSTITUTE(L19,", ",", ")," + ",", ")&amp;", "))),OR(NOT(ISNUMBER(SEARCH(", YA,",", "&amp;SUBSTITUTE(SUBSTITUTE(L18,", ",", ")," + ",", ")&amp;", "))),ISNUMBER(SEARCH(", YA,",", "&amp;SUBSTITUTE(SUBSTITUTE(L19,", ",", ")," + ",", ")&amp;", "))),OR(NOT(ISNUMBER(SEARCH(", DA/RA,",", "&amp;SUBSTITUTE(SUBSTITUTE(L18,", ",", ")," + ",", ")&amp;", "))),ISNUMBER(SEARCH(", DA/RA,",", "&amp;SUBSTITUTE(SUBSTITUTE(L19,", ",", ")," + ",", ")&amp;", "))),OR(NOT(ISNUMBER(SEARCH(", HA,",", "&amp;SUBSTITUTE(SUBSTITUTE(L18,", ",", ")," + ",", ")&amp;", "))),ISNUMBER(SEARCH(", HA,",", "&amp;SUBSTITUTE(SUBSTITUTE(L19,", ",", ")," + ",", ")&amp;", "))),OR(NOT(ISNUMBER(SEARCH(", LA,",", "&amp;SUBSTITUTE(SUBSTITUTE(L18,", ",", ")," + ",", ")&amp;", "))),ISNUMBER(SEARCH(", LA,",", "&amp;SUBSTITUTE(SUBSTITUTE(L19,", ",", ")," + ",", ")&amp;", "))),OR(NOT(ISNUMBER(SEARCH(", NGA,",", "&amp;SUBSTITUTE(SUBSTITUTE(L18,", ",", ")," + ",", ")&amp;", "))),ISNUMBER(SEARCH(", NGA,",", "&amp;SUBSTITUTE(SUBSTITUTE(L19,", ",", ")," + ",", ")&amp;", "))),OR(NOT(ISNUMBER(SEARCH(", PA,",", "&amp;SUBSTITUTE(SUBSTITUTE(L18,", ",", ")," + ",", ")&amp;", "))),ISNUMBER(SEARCH(", PA,",", "&amp;SUBSTITUTE(SUBSTITUTE(L19,", ",", ")," + ",", ")&amp;", ")))),"PASS","FAIL")</x:f>
        <x:v>PASS</x:v>
      </x:c>
      <x:c r="N19" s="47" t="str">
        <x:v>Original</x:v>
      </x:c>
      <x:c r="O19" s="47" t="str"/>
      <x:c r="P19" s="47" t="str">
        <x:v>None</x:v>
      </x:c>
      <x:c r="Q19" s="47" t="str">
        <x:f>IF(OR(ISNUMBER(SEARCH("kudlit",LOWER(E19))),ISNUMBER(SEARCH("ᜒ",E19)),ISNUMBER(SEARCH("ᜓ",E19))),"Yes","No")</x:f>
        <x:v>No</x:v>
      </x:c>
      <x:c r="R19" s="47" t="str">
        <x:f>IF(OR(ISNUMBER(SEARCH("BE",E19)),ISNUMBER(SEARCH("BI",E19)),ISNUMBER(SEARCH("BO",E19)),ISNUMBER(SEARCH("BU",E19)),ISNUMBER(SEARCH("DE",E19)),ISNUMBER(SEARCH("DI",E19)),ISNUMBER(SEARCH("DO",E19)),ISNUMBER(SEARCH("DU",E19)),ISNUMBER(SEARCH("GE",E19)),ISNUMBER(SEARCH("GI",E19)),ISNUMBER(SEARCH("GO",E19)),ISNUMBER(SEARCH("GU",E19)),ISNUMBER(SEARCH("HE",E19)),ISNUMBER(SEARCH("HI",E19)),ISNUMBER(SEARCH("HO",E19)),ISNUMBER(SEARCH("HU",E19)),ISNUMBER(SEARCH("KE",E19)),ISNUMBER(SEARCH("KI",E19)),ISNUMBER(SEARCH("KO",E19)),ISNUMBER(SEARCH("KU",E19)),ISNUMBER(SEARCH("LE",E19)),ISNUMBER(SEARCH("LI",E19)),ISNUMBER(SEARCH("LO",E19)),ISNUMBER(SEARCH("LU",E19)),ISNUMBER(SEARCH("ME",E19)),ISNUMBER(SEARCH("MI",E19)),ISNUMBER(SEARCH("MO",E19)),ISNUMBER(SEARCH("MU",E19)),ISNUMBER(SEARCH("NE",E19)),ISNUMBER(SEARCH("NI",E19)),ISNUMBER(SEARCH("NO",E19)),ISNUMBER(SEARCH("NU",E19)),ISNUMBER(SEARCH("PE",E19)),ISNUMBER(SEARCH("PI",E19)),ISNUMBER(SEARCH("PO",E19)),ISNUMBER(SEARCH("PU",E19)),ISNUMBER(SEARCH("RE",E19)),ISNUMBER(SEARCH("RI",E19)),ISNUMBER(SEARCH("RO",E19)),ISNUMBER(SEARCH("RU",E19)),ISNUMBER(SEARCH("SE",E19)),ISNUMBER(SEARCH("SI",E19)),ISNUMBER(SEARCH("SO",E19)),ISNUMBER(SEARCH("SU",E19)),ISNUMBER(SEARCH("TE",E19)),ISNUMBER(SEARCH("TI",E19)),ISNUMBER(SEARCH("TO",E19)),ISNUMBER(SEARCH("TU",E19)),ISNUMBER(SEARCH("WE",E19)),ISNUMBER(SEARCH("WI",E19)),ISNUMBER(SEARCH("WO",E19)),ISNUMBER(SEARCH("WU",E19)),ISNUMBER(SEARCH("YE",E19)),ISNUMBER(SEARCH("YI",E19)),ISNUMBER(SEARCH("YO",E19)),ISNUMBER(SEARCH("YU",E19))),"Yes","No")</x:f>
        <x:v>No</x:v>
      </x:c>
      <x:c r="S19" s="47" t="str">
        <x:v>Era 2 - Ugnayan!D15</x:v>
      </x:c>
      <x:c r="T19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19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19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19," + "))=COUNTA(TEXTSPLIT(G19," + "))),"PASS","FAIL")</x:f>
        <x:v>PASS</x:v>
      </x:c>
      <x:c r="U19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19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"&amp;SUBSTITUTE(SUBSTITUTE(G19,", ",", ")," + ",", ")&amp;", "))),AND('Character Matrix'!$J$8&lt;&gt;"",'Character Matrix'!$Q$8&lt;&gt;"Missing",'Character Matrix'!$Q$8&lt;&gt;"Conflicting")),OR(NOT(ISNUMBER(SEARCH(", E/I,",", "&amp;SUBSTITUTE(SUBSTITUTE(G19,", ",", ")," + ",", ")&amp;", "))),AND('Character Matrix'!$J$9&lt;&gt;"",'Character Matrix'!$Q$9&lt;&gt;"Missing",'Character Matrix'!$Q$9&lt;&gt;"Conflicting")),OR(NOT(ISNUMBER(SEARCH(", BA,",", "&amp;SUBSTITUTE(SUBSTITUTE(G19,", ",", ")," + ",", ")&amp;", "))),AND('Character Matrix'!$J$10&lt;&gt;"",'Character Matrix'!$Q$10&lt;&gt;"Missing",'Character Matrix'!$Q$10&lt;&gt;"Conflicting")),OR(NOT(ISNUMBER(SEARCH(", MA,",", "&amp;SUBSTITUTE(SUBSTITUTE(G19,", ",", ")," + ",", ")&amp;", "))),AND('Character Matrix'!$J$11&lt;&gt;"",'Character Matrix'!$Q$11&lt;&gt;"Missing",'Character Matrix'!$Q$11&lt;&gt;"Conflicting")),OR(NOT(ISNUMBER(SEARCH(", NA,",", "&amp;SUBSTITUTE(SUBSTITUTE(G19,", ",", ")," + ",", ")&amp;", "))),AND('Character Matrix'!$J$12&lt;&gt;"",'Character Matrix'!$Q$12&lt;&gt;"Missing",'Character Matrix'!$Q$12&lt;&gt;"Conflicting")),OR(NOT(ISNUMBER(SEARCH(", TA,",", "&amp;SUBSTITUTE(SUBSTITUTE(G19,", ",", ")," + ",", ")&amp;", "))),AND('Character Matrix'!$J$13&lt;&gt;"",'Character Matrix'!$Q$13&lt;&gt;"Missing",'Character Matrix'!$Q$13&lt;&gt;"Conflicting")),OR(NOT(ISNUMBER(SEARCH(", O/U,",", "&amp;SUBSTITUTE(SUBSTITUTE(G19,", ",", ")," + ",", ")&amp;", "))),AND('Character Matrix'!$J$14&lt;&gt;"",'Character Matrix'!$Q$14&lt;&gt;"Missing",'Character Matrix'!$Q$14&lt;&gt;"Conflicting")),OR(NOT(ISNUMBER(SEARCH(", KA,",", "&amp;SUBSTITUTE(SUBSTITUTE(G19,", ",", ")," + ",", ")&amp;", "))),AND('Character Matrix'!$J$15&lt;&gt;"",'Character Matrix'!$Q$15&lt;&gt;"Missing",'Character Matrix'!$Q$15&lt;&gt;"Conflicting")),OR(NOT(ISNUMBER(SEARCH(", GA,",", "&amp;SUBSTITUTE(SUBSTITUTE(G19,", ",", ")," + ",", ")&amp;", "))),AND('Character Matrix'!$J$16&lt;&gt;"",'Character Matrix'!$Q$16&lt;&gt;"Missing",'Character Matrix'!$Q$16&lt;&gt;"Conflicting")),OR(NOT(ISNUMBER(SEARCH(", SA,",", "&amp;SUBSTITUTE(SUBSTITUTE(G19,", ",", ")," + ",", ")&amp;", "))),AND('Character Matrix'!$J$17&lt;&gt;"",'Character Matrix'!$Q$17&lt;&gt;"Missing",'Character Matrix'!$Q$17&lt;&gt;"Conflicting")),OR(NOT(ISNUMBER(SEARCH(", WA,",", "&amp;SUBSTITUTE(SUBSTITUTE(G19,", ",", ")," + ",", ")&amp;", "))),AND('Character Matrix'!$J$18&lt;&gt;"",'Character Matrix'!$Q$18&lt;&gt;"Missing",'Character Matrix'!$Q$18&lt;&gt;"Conflicting")),OR(NOT(ISNUMBER(SEARCH(", YA,",", "&amp;SUBSTITUTE(SUBSTITUTE(G19,", ",", ")," + ",", ")&amp;", "))),AND('Character Matrix'!$J$19&lt;&gt;"",'Character Matrix'!$Q$19&lt;&gt;"Missing",'Character Matrix'!$Q$19&lt;&gt;"Conflicting")),OR(NOT(ISNUMBER(SEARCH(", DA/RA,",", "&amp;SUBSTITUTE(SUBSTITUTE(G19,", ",", ")," + ",", ")&amp;", "))),AND('Character Matrix'!$J$20&lt;&gt;"",'Character Matrix'!$Q$20&lt;&gt;"Missing",'Character Matrix'!$Q$20&lt;&gt;"Conflicting")),OR(NOT(ISNUMBER(SEARCH(", HA,",", "&amp;SUBSTITUTE(SUBSTITUTE(G19,", ",", ")," + ",", ")&amp;", "))),AND('Character Matrix'!$J$21&lt;&gt;"",'Character Matrix'!$Q$21&lt;&gt;"Missing",'Character Matrix'!$Q$21&lt;&gt;"Conflicting")),OR(NOT(ISNUMBER(SEARCH(", LA,",", "&amp;SUBSTITUTE(SUBSTITUTE(G19,", ",", ")," + ",", ")&amp;", "))),AND('Character Matrix'!$J$22&lt;&gt;"",'Character Matrix'!$Q$22&lt;&gt;"Missing",'Character Matrix'!$Q$22&lt;&gt;"Conflicting")),OR(NOT(ISNUMBER(SEARCH(", NGA,",", "&amp;SUBSTITUTE(SUBSTITUTE(G19,", ",", ")," + ",", ")&amp;", "))),AND('Character Matrix'!$J$23&lt;&gt;"",'Character Matrix'!$Q$23&lt;&gt;"Missing",'Character Matrix'!$Q$23&lt;&gt;"Conflicting")),OR(NOT(ISNUMBER(SEARCH(", PA,",", "&amp;SUBSTITUTE(SUBSTITUTE(G19,", ",", ")," + ",", ")&amp;", "))),AND('Character Matrix'!$J$24&lt;&gt;"",'Character Matrix'!$Q$24&lt;&gt;"Missing",'Character Matrix'!$Q$24&lt;&gt;"Conflicting"))),"PASS","FAIL")</x:f>
        <x:v>PASS</x:v>
      </x:c>
      <x:c r="V19" s="48" t="str">
        <x:f>IF(AND(M19="PASS",Q19="No",R19="No",T19="PASS",U19="PASS",OR(K19="N/A",K19="PASS")),"PASS","FAIL")</x:f>
        <x:v>PASS</x:v>
      </x:c>
    </x:row>
    <x:row r="20" ht="52" customHeight="1">
      <x:c r="A20" s="46" t="n">
        <x:v>7</x:v>
      </x:c>
      <x:c r="B20" s="47" t="str">
        <x:v>Ugnayan</x:v>
      </x:c>
      <x:c r="C20" s="47" t="n">
        <x:v>2</x:v>
      </x:c>
      <x:c r="D20" s="47" t="n">
        <x:v>1</x:v>
      </x:c>
      <x:c r="E20" s="47" t="str">
        <x:v>SAMA</x:v>
      </x:c>
      <x:c r="F20" s="47" t="str">
        <x:v>SA + MA</x:v>
      </x:c>
      <x:c r="G20" s="47" t="str">
        <x:v>SA + MA</x:v>
      </x:c>
      <x:c r="H20" s="47" t="str">
        <x:v>MA</x:v>
      </x:c>
      <x:c r="I20" s="47" t="str">
        <x:v>MA</x:v>
      </x:c>
      <x:c r="J20" s="47" t="str"/>
      <x:c r="K20" s="47" t="str">
        <x:f>IF(D20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20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20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20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20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N/A</x:v>
      </x:c>
      <x:c r="L20" s="47" t="str">
        <x:v>A, E/I, BA, MA, NA, TA, KA, GA, SA, WA</x:v>
      </x:c>
      <x:c r="M20" s="47" t="str">
        <x:f>IF(AND(LEN(L20)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20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20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20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"&amp;SUBSTITUTE(SUBSTITUTE(G20,", ",", ")," + ",", ")&amp;", "))),ISNUMBER(SEARCH(", A,",", "&amp;SUBSTITUTE(SUBSTITUTE(L20,", ",", ")," + ",", ")&amp;", "))),OR(NOT(ISNUMBER(SEARCH(", E/I,",", "&amp;SUBSTITUTE(SUBSTITUTE(G20,", ",", ")," + ",", ")&amp;", "))),ISNUMBER(SEARCH(", E/I,",", "&amp;SUBSTITUTE(SUBSTITUTE(L20,", ",", ")," + ",", ")&amp;", "))),OR(NOT(ISNUMBER(SEARCH(", BA,",", "&amp;SUBSTITUTE(SUBSTITUTE(G20,", ",", ")," + ",", ")&amp;", "))),ISNUMBER(SEARCH(", BA,",", "&amp;SUBSTITUTE(SUBSTITUTE(L20,", ",", ")," + ",", ")&amp;", "))),OR(NOT(ISNUMBER(SEARCH(", MA,",", "&amp;SUBSTITUTE(SUBSTITUTE(G20,", ",", ")," + ",", ")&amp;", "))),ISNUMBER(SEARCH(", MA,",", "&amp;SUBSTITUTE(SUBSTITUTE(L20,", ",", ")," + ",", ")&amp;", "))),OR(NOT(ISNUMBER(SEARCH(", NA,",", "&amp;SUBSTITUTE(SUBSTITUTE(G20,", ",", ")," + ",", ")&amp;", "))),ISNUMBER(SEARCH(", NA,",", "&amp;SUBSTITUTE(SUBSTITUTE(L20,", ",", ")," + ",", ")&amp;", "))),OR(NOT(ISNUMBER(SEARCH(", TA,",", "&amp;SUBSTITUTE(SUBSTITUTE(G20,", ",", ")," + ",", ")&amp;", "))),ISNUMBER(SEARCH(", TA,",", "&amp;SUBSTITUTE(SUBSTITUTE(L20,", ",", ")," + ",", ")&amp;", "))),OR(NOT(ISNUMBER(SEARCH(", O/U,",", "&amp;SUBSTITUTE(SUBSTITUTE(G20,", ",", ")," + ",", ")&amp;", "))),ISNUMBER(SEARCH(", O/U,",", "&amp;SUBSTITUTE(SUBSTITUTE(L20,", ",", ")," + ",", ")&amp;", "))),OR(NOT(ISNUMBER(SEARCH(", KA,",", "&amp;SUBSTITUTE(SUBSTITUTE(G20,", ",", ")," + ",", ")&amp;", "))),ISNUMBER(SEARCH(", KA,",", "&amp;SUBSTITUTE(SUBSTITUTE(L20,", ",", ")," + ",", ")&amp;", "))),OR(NOT(ISNUMBER(SEARCH(", GA,",", "&amp;SUBSTITUTE(SUBSTITUTE(G20,", ",", ")," + ",", ")&amp;", "))),ISNUMBER(SEARCH(", GA,",", "&amp;SUBSTITUTE(SUBSTITUTE(L20,", ",", ")," + ",", ")&amp;", "))),OR(NOT(ISNUMBER(SEARCH(", SA,",", "&amp;SUBSTITUTE(SUBSTITUTE(G20,", ",", ")," + ",", ")&amp;", "))),ISNUMBER(SEARCH(", SA,",", "&amp;SUBSTITUTE(SUBSTITUTE(L20,", ",", ")," + ",", ")&amp;", "))),OR(NOT(ISNUMBER(SEARCH(", WA,",", "&amp;SUBSTITUTE(SUBSTITUTE(G20,", ",", ")," + ",", ")&amp;", "))),ISNUMBER(SEARCH(", WA,",", "&amp;SUBSTITUTE(SUBSTITUTE(L20,", ",", ")," + ",", ")&amp;", "))),OR(NOT(ISNUMBER(SEARCH(", YA,",", "&amp;SUBSTITUTE(SUBSTITUTE(G20,", ",", ")," + ",", ")&amp;", "))),ISNUMBER(SEARCH(", YA,",", "&amp;SUBSTITUTE(SUBSTITUTE(L20,", ",", ")," + ",", ")&amp;", "))),OR(NOT(ISNUMBER(SEARCH(", DA/RA,",", "&amp;SUBSTITUTE(SUBSTITUTE(G20,", ",", ")," + ",", ")&amp;", "))),ISNUMBER(SEARCH(", DA/RA,",", "&amp;SUBSTITUTE(SUBSTITUTE(L20,", ",", ")," + ",", ")&amp;", "))),OR(NOT(ISNUMBER(SEARCH(", HA,",", "&amp;SUBSTITUTE(SUBSTITUTE(G20,", ",", ")," + ",", ")&amp;", "))),ISNUMBER(SEARCH(", HA,",", "&amp;SUBSTITUTE(SUBSTITUTE(L20,", ",", ")," + ",", ")&amp;", "))),OR(NOT(ISNUMBER(SEARCH(", LA,",", "&amp;SUBSTITUTE(SUBSTITUTE(G20,", ",", ")," + ",", ")&amp;", "))),ISNUMBER(SEARCH(", LA,",", "&amp;SUBSTITUTE(SUBSTITUTE(L20,", ",", ")," + ",", ")&amp;", "))),OR(NOT(ISNUMBER(SEARCH(", NGA,",", "&amp;SUBSTITUTE(SUBSTITUTE(G20,", ",", ")," + ",", ")&amp;", "))),ISNUMBER(SEARCH(", NGA,",", "&amp;SUBSTITUTE(SUBSTITUTE(L20,", ",", ")," + ",", ")&amp;", "))),OR(NOT(ISNUMBER(SEARCH(", PA,",", "&amp;SUBSTITUTE(SUBSTITUTE(G20,", ",", ")," + ",", ")&amp;", "))),ISNUMBER(SEARCH(", PA,",", "&amp;SUBSTITUTE(SUBSTITUTE(L20,", ",", ")," + ",", ")&amp;", "))),OR(NOT(ISNUMBER(SEARCH(", A,",", "&amp;SUBSTITUTE(SUBSTITUTE(L19,", ",", ")," + ",", ")&amp;", "))),ISNUMBER(SEARCH(", A,",", "&amp;SUBSTITUTE(SUBSTITUTE(L20,", ",", ")," + ",", ")&amp;", "))),OR(NOT(ISNUMBER(SEARCH(", E/I,",", "&amp;SUBSTITUTE(SUBSTITUTE(L19,", ",", ")," + ",", ")&amp;", "))),ISNUMBER(SEARCH(", E/I,",", "&amp;SUBSTITUTE(SUBSTITUTE(L20,", ",", ")," + ",", ")&amp;", "))),OR(NOT(ISNUMBER(SEARCH(", BA,",", "&amp;SUBSTITUTE(SUBSTITUTE(L19,", ",", ")," + ",", ")&amp;", "))),ISNUMBER(SEARCH(", BA,",", "&amp;SUBSTITUTE(SUBSTITUTE(L20,", ",", ")," + ",", ")&amp;", "))),OR(NOT(ISNUMBER(SEARCH(", MA,",", "&amp;SUBSTITUTE(SUBSTITUTE(L19,", ",", ")," + ",", ")&amp;", "))),ISNUMBER(SEARCH(", MA,",", "&amp;SUBSTITUTE(SUBSTITUTE(L20,", ",", ")," + ",", ")&amp;", "))),OR(NOT(ISNUMBER(SEARCH(", NA,",", "&amp;SUBSTITUTE(SUBSTITUTE(L19,", ",", ")," + ",", ")&amp;", "))),ISNUMBER(SEARCH(", NA,",", "&amp;SUBSTITUTE(SUBSTITUTE(L20,", ",", ")," + ",", ")&amp;", "))),OR(NOT(ISNUMBER(SEARCH(", TA,",", "&amp;SUBSTITUTE(SUBSTITUTE(L19,", ",", ")," + ",", ")&amp;", "))),ISNUMBER(SEARCH(", TA,",", "&amp;SUBSTITUTE(SUBSTITUTE(L20,", ",", ")," + ",", ")&amp;", "))),OR(NOT(ISNUMBER(SEARCH(", O/U,",", "&amp;SUBSTITUTE(SUBSTITUTE(L19,", ",", ")," + ",", ")&amp;", "))),ISNUMBER(SEARCH(", O/U,",", "&amp;SUBSTITUTE(SUBSTITUTE(L20,", ",", ")," + ",", ")&amp;", "))),OR(NOT(ISNUMBER(SEARCH(", KA,",", "&amp;SUBSTITUTE(SUBSTITUTE(L19,", ",", ")," + ",", ")&amp;", "))),ISNUMBER(SEARCH(", KA,",", "&amp;SUBSTITUTE(SUBSTITUTE(L20,", ",", ")," + ",", ")&amp;", "))),OR(NOT(ISNUMBER(SEARCH(", GA,",", "&amp;SUBSTITUTE(SUBSTITUTE(L19,", ",", ")," + ",", ")&amp;", "))),ISNUMBER(SEARCH(", GA,",", "&amp;SUBSTITUTE(SUBSTITUTE(L20,", ",", ")," + ",", ")&amp;", "))),OR(NOT(ISNUMBER(SEARCH(", SA,",", "&amp;SUBSTITUTE(SUBSTITUTE(L19,", ",", ")," + ",", ")&amp;", "))),ISNUMBER(SEARCH(", SA,",", "&amp;SUBSTITUTE(SUBSTITUTE(L20,", ",", ")," + ",", ")&amp;", "))),OR(NOT(ISNUMBER(SEARCH(", WA,",", "&amp;SUBSTITUTE(SUBSTITUTE(L19,", ",", ")," + ",", ")&amp;", "))),ISNUMBER(SEARCH(", WA,",", "&amp;SUBSTITUTE(SUBSTITUTE(L20,", ",", ")," + ",", ")&amp;", "))),OR(NOT(ISNUMBER(SEARCH(", YA,",", "&amp;SUBSTITUTE(SUBSTITUTE(L19,", ",", ")," + ",", ")&amp;", "))),ISNUMBER(SEARCH(", YA,",", "&amp;SUBSTITUTE(SUBSTITUTE(L20,", ",", ")," + ",", ")&amp;", "))),OR(NOT(ISNUMBER(SEARCH(", DA/RA,",", "&amp;SUBSTITUTE(SUBSTITUTE(L19,", ",", ")," + ",", ")&amp;", "))),ISNUMBER(SEARCH(", DA/RA,",", "&amp;SUBSTITUTE(SUBSTITUTE(L20,", ",", ")," + ",", ")&amp;", "))),OR(NOT(ISNUMBER(SEARCH(", HA,",", "&amp;SUBSTITUTE(SUBSTITUTE(L19,", ",", ")," + ",", ")&amp;", "))),ISNUMBER(SEARCH(", HA,",", "&amp;SUBSTITUTE(SUBSTITUTE(L20,", ",", ")," + ",", ")&amp;", "))),OR(NOT(ISNUMBER(SEARCH(", LA,",", "&amp;SUBSTITUTE(SUBSTITUTE(L19,", ",", ")," + ",", ")&amp;", "))),ISNUMBER(SEARCH(", LA,",", "&amp;SUBSTITUTE(SUBSTITUTE(L20,", ",", ")," + ",", ")&amp;", "))),OR(NOT(ISNUMBER(SEARCH(", NGA,",", "&amp;SUBSTITUTE(SUBSTITUTE(L19,", ",", ")," + ",", ")&amp;", "))),ISNUMBER(SEARCH(", NGA,",", "&amp;SUBSTITUTE(SUBSTITUTE(L20,", ",", ")," + ",", ")&amp;", "))),OR(NOT(ISNUMBER(SEARCH(", PA,",", "&amp;SUBSTITUTE(SUBSTITUTE(L19,", ",", ")," + ",", ")&amp;", "))),ISNUMBER(SEARCH(", PA,",", "&amp;SUBSTITUTE(SUBSTITUTE(L20,", ",", ")," + ",", ")&amp;", ")))),"PASS","FAIL")</x:f>
        <x:v>PASS</x:v>
      </x:c>
      <x:c r="N20" s="47" t="str">
        <x:v>Original</x:v>
      </x:c>
      <x:c r="O20" s="47" t="str"/>
      <x:c r="P20" s="47" t="str">
        <x:v>None</x:v>
      </x:c>
      <x:c r="Q20" s="47" t="str">
        <x:f>IF(OR(ISNUMBER(SEARCH("kudlit",LOWER(E20))),ISNUMBER(SEARCH("ᜒ",E20)),ISNUMBER(SEARCH("ᜓ",E20))),"Yes","No")</x:f>
        <x:v>No</x:v>
      </x:c>
      <x:c r="R20" s="47" t="str">
        <x:f>IF(OR(ISNUMBER(SEARCH("BE",E20)),ISNUMBER(SEARCH("BI",E20)),ISNUMBER(SEARCH("BO",E20)),ISNUMBER(SEARCH("BU",E20)),ISNUMBER(SEARCH("DE",E20)),ISNUMBER(SEARCH("DI",E20)),ISNUMBER(SEARCH("DO",E20)),ISNUMBER(SEARCH("DU",E20)),ISNUMBER(SEARCH("GE",E20)),ISNUMBER(SEARCH("GI",E20)),ISNUMBER(SEARCH("GO",E20)),ISNUMBER(SEARCH("GU",E20)),ISNUMBER(SEARCH("HE",E20)),ISNUMBER(SEARCH("HI",E20)),ISNUMBER(SEARCH("HO",E20)),ISNUMBER(SEARCH("HU",E20)),ISNUMBER(SEARCH("KE",E20)),ISNUMBER(SEARCH("KI",E20)),ISNUMBER(SEARCH("KO",E20)),ISNUMBER(SEARCH("KU",E20)),ISNUMBER(SEARCH("LE",E20)),ISNUMBER(SEARCH("LI",E20)),ISNUMBER(SEARCH("LO",E20)),ISNUMBER(SEARCH("LU",E20)),ISNUMBER(SEARCH("ME",E20)),ISNUMBER(SEARCH("MI",E20)),ISNUMBER(SEARCH("MO",E20)),ISNUMBER(SEARCH("MU",E20)),ISNUMBER(SEARCH("NE",E20)),ISNUMBER(SEARCH("NI",E20)),ISNUMBER(SEARCH("NO",E20)),ISNUMBER(SEARCH("NU",E20)),ISNUMBER(SEARCH("PE",E20)),ISNUMBER(SEARCH("PI",E20)),ISNUMBER(SEARCH("PO",E20)),ISNUMBER(SEARCH("PU",E20)),ISNUMBER(SEARCH("RE",E20)),ISNUMBER(SEARCH("RI",E20)),ISNUMBER(SEARCH("RO",E20)),ISNUMBER(SEARCH("RU",E20)),ISNUMBER(SEARCH("SE",E20)),ISNUMBER(SEARCH("SI",E20)),ISNUMBER(SEARCH("SO",E20)),ISNUMBER(SEARCH("SU",E20)),ISNUMBER(SEARCH("TE",E20)),ISNUMBER(SEARCH("TI",E20)),ISNUMBER(SEARCH("TO",E20)),ISNUMBER(SEARCH("TU",E20)),ISNUMBER(SEARCH("WE",E20)),ISNUMBER(SEARCH("WI",E20)),ISNUMBER(SEARCH("WO",E20)),ISNUMBER(SEARCH("WU",E20)),ISNUMBER(SEARCH("YE",E20)),ISNUMBER(SEARCH("YI",E20)),ISNUMBER(SEARCH("YO",E20)),ISNUMBER(SEARCH("YU",E20))),"Yes","No")</x:f>
        <x:v>No</x:v>
      </x:c>
      <x:c r="S20" s="47" t="str">
        <x:v>Era 2 - Ugnayan!D16</x:v>
      </x:c>
      <x:c r="T20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20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20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20," + "))=COUNTA(TEXTSPLIT(G20," + "))),"PASS","FAIL")</x:f>
        <x:v>PASS</x:v>
      </x:c>
      <x:c r="U20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20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"&amp;SUBSTITUTE(SUBSTITUTE(G20,", ",", ")," + ",", ")&amp;", "))),AND('Character Matrix'!$J$8&lt;&gt;"",'Character Matrix'!$Q$8&lt;&gt;"Missing",'Character Matrix'!$Q$8&lt;&gt;"Conflicting")),OR(NOT(ISNUMBER(SEARCH(", E/I,",", "&amp;SUBSTITUTE(SUBSTITUTE(G20,", ",", ")," + ",", ")&amp;", "))),AND('Character Matrix'!$J$9&lt;&gt;"",'Character Matrix'!$Q$9&lt;&gt;"Missing",'Character Matrix'!$Q$9&lt;&gt;"Conflicting")),OR(NOT(ISNUMBER(SEARCH(", BA,",", "&amp;SUBSTITUTE(SUBSTITUTE(G20,", ",", ")," + ",", ")&amp;", "))),AND('Character Matrix'!$J$10&lt;&gt;"",'Character Matrix'!$Q$10&lt;&gt;"Missing",'Character Matrix'!$Q$10&lt;&gt;"Conflicting")),OR(NOT(ISNUMBER(SEARCH(", MA,",", "&amp;SUBSTITUTE(SUBSTITUTE(G20,", ",", ")," + ",", ")&amp;", "))),AND('Character Matrix'!$J$11&lt;&gt;"",'Character Matrix'!$Q$11&lt;&gt;"Missing",'Character Matrix'!$Q$11&lt;&gt;"Conflicting")),OR(NOT(ISNUMBER(SEARCH(", NA,",", "&amp;SUBSTITUTE(SUBSTITUTE(G20,", ",", ")," + ",", ")&amp;", "))),AND('Character Matrix'!$J$12&lt;&gt;"",'Character Matrix'!$Q$12&lt;&gt;"Missing",'Character Matrix'!$Q$12&lt;&gt;"Conflicting")),OR(NOT(ISNUMBER(SEARCH(", TA,",", "&amp;SUBSTITUTE(SUBSTITUTE(G20,", ",", ")," + ",", ")&amp;", "))),AND('Character Matrix'!$J$13&lt;&gt;"",'Character Matrix'!$Q$13&lt;&gt;"Missing",'Character Matrix'!$Q$13&lt;&gt;"Conflicting")),OR(NOT(ISNUMBER(SEARCH(", O/U,",", "&amp;SUBSTITUTE(SUBSTITUTE(G20,", ",", ")," + ",", ")&amp;", "))),AND('Character Matrix'!$J$14&lt;&gt;"",'Character Matrix'!$Q$14&lt;&gt;"Missing",'Character Matrix'!$Q$14&lt;&gt;"Conflicting")),OR(NOT(ISNUMBER(SEARCH(", KA,",", "&amp;SUBSTITUTE(SUBSTITUTE(G20,", ",", ")," + ",", ")&amp;", "))),AND('Character Matrix'!$J$15&lt;&gt;"",'Character Matrix'!$Q$15&lt;&gt;"Missing",'Character Matrix'!$Q$15&lt;&gt;"Conflicting")),OR(NOT(ISNUMBER(SEARCH(", GA,",", "&amp;SUBSTITUTE(SUBSTITUTE(G20,", ",", ")," + ",", ")&amp;", "))),AND('Character Matrix'!$J$16&lt;&gt;"",'Character Matrix'!$Q$16&lt;&gt;"Missing",'Character Matrix'!$Q$16&lt;&gt;"Conflicting")),OR(NOT(ISNUMBER(SEARCH(", SA,",", "&amp;SUBSTITUTE(SUBSTITUTE(G20,", ",", ")," + ",", ")&amp;", "))),AND('Character Matrix'!$J$17&lt;&gt;"",'Character Matrix'!$Q$17&lt;&gt;"Missing",'Character Matrix'!$Q$17&lt;&gt;"Conflicting")),OR(NOT(ISNUMBER(SEARCH(", WA,",", "&amp;SUBSTITUTE(SUBSTITUTE(G20,", ",", ")," + ",", ")&amp;", "))),AND('Character Matrix'!$J$18&lt;&gt;"",'Character Matrix'!$Q$18&lt;&gt;"Missing",'Character Matrix'!$Q$18&lt;&gt;"Conflicting")),OR(NOT(ISNUMBER(SEARCH(", YA,",", "&amp;SUBSTITUTE(SUBSTITUTE(G20,", ",", ")," + ",", ")&amp;", "))),AND('Character Matrix'!$J$19&lt;&gt;"",'Character Matrix'!$Q$19&lt;&gt;"Missing",'Character Matrix'!$Q$19&lt;&gt;"Conflicting")),OR(NOT(ISNUMBER(SEARCH(", DA/RA,",", "&amp;SUBSTITUTE(SUBSTITUTE(G20,", ",", ")," + ",", ")&amp;", "))),AND('Character Matrix'!$J$20&lt;&gt;"",'Character Matrix'!$Q$20&lt;&gt;"Missing",'Character Matrix'!$Q$20&lt;&gt;"Conflicting")),OR(NOT(ISNUMBER(SEARCH(", HA,",", "&amp;SUBSTITUTE(SUBSTITUTE(G20,", ",", ")," + ",", ")&amp;", "))),AND('Character Matrix'!$J$21&lt;&gt;"",'Character Matrix'!$Q$21&lt;&gt;"Missing",'Character Matrix'!$Q$21&lt;&gt;"Conflicting")),OR(NOT(ISNUMBER(SEARCH(", LA,",", "&amp;SUBSTITUTE(SUBSTITUTE(G20,", ",", ")," + ",", ")&amp;", "))),AND('Character Matrix'!$J$22&lt;&gt;"",'Character Matrix'!$Q$22&lt;&gt;"Missing",'Character Matrix'!$Q$22&lt;&gt;"Conflicting")),OR(NOT(ISNUMBER(SEARCH(", NGA,",", "&amp;SUBSTITUTE(SUBSTITUTE(G20,", ",", ")," + ",", ")&amp;", "))),AND('Character Matrix'!$J$23&lt;&gt;"",'Character Matrix'!$Q$23&lt;&gt;"Missing",'Character Matrix'!$Q$23&lt;&gt;"Conflicting")),OR(NOT(ISNUMBER(SEARCH(", PA,",", "&amp;SUBSTITUTE(SUBSTITUTE(G20,", ",", ")," + ",", ")&amp;", "))),AND('Character Matrix'!$J$24&lt;&gt;"",'Character Matrix'!$Q$24&lt;&gt;"Missing",'Character Matrix'!$Q$24&lt;&gt;"Conflicting"))),"PASS","FAIL")</x:f>
        <x:v>PASS</x:v>
      </x:c>
      <x:c r="V20" s="48" t="str">
        <x:f>IF(AND(M20="PASS",Q20="No",R20="No",T20="PASS",U20="PASS",OR(K20="N/A",K20="PASS")),"PASS","FAIL")</x:f>
        <x:v>PASS</x:v>
      </x:c>
    </x:row>
    <x:row r="21" ht="52" customHeight="1">
      <x:c r="A21" s="46" t="n">
        <x:v>7</x:v>
      </x:c>
      <x:c r="B21" s="47" t="str">
        <x:v>Ugnayan</x:v>
      </x:c>
      <x:c r="C21" s="47" t="n">
        <x:v>2</x:v>
      </x:c>
      <x:c r="D21" s="47" t="n">
        <x:v>2</x:v>
      </x:c>
      <x:c r="E21" s="47" t="str">
        <x:v>KASAMA</x:v>
      </x:c>
      <x:c r="F21" s="47" t="str">
        <x:v>KA + SA + MA</x:v>
      </x:c>
      <x:c r="G21" s="47" t="str">
        <x:v>KA + SA + MA</x:v>
      </x:c>
      <x:c r="H21" s="47" t="str">
        <x:v>MA</x:v>
      </x:c>
      <x:c r="I21" s="47" t="str">
        <x:v>MA</x:v>
      </x:c>
      <x:c r="J21" s="47" t="str">
        <x:v>MA</x:v>
      </x:c>
      <x:c r="K21" s="47" t="str">
        <x:f>IF(D21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21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21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21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21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PASS</x:v>
      </x:c>
      <x:c r="L21" s="47" t="str">
        <x:v>A, E/I, BA, MA, NA, TA, KA, GA, SA, WA</x:v>
      </x:c>
      <x:c r="M21" s="47" t="str">
        <x:f>IF(AND(LEN(L21)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21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21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21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"&amp;SUBSTITUTE(SUBSTITUTE(G21,", ",", ")," + ",", ")&amp;", "))),ISNUMBER(SEARCH(", A,",", "&amp;SUBSTITUTE(SUBSTITUTE(L21,", ",", ")," + ",", ")&amp;", "))),OR(NOT(ISNUMBER(SEARCH(", E/I,",", "&amp;SUBSTITUTE(SUBSTITUTE(G21,", ",", ")," + ",", ")&amp;", "))),ISNUMBER(SEARCH(", E/I,",", "&amp;SUBSTITUTE(SUBSTITUTE(L21,", ",", ")," + ",", ")&amp;", "))),OR(NOT(ISNUMBER(SEARCH(", BA,",", "&amp;SUBSTITUTE(SUBSTITUTE(G21,", ",", ")," + ",", ")&amp;", "))),ISNUMBER(SEARCH(", BA,",", "&amp;SUBSTITUTE(SUBSTITUTE(L21,", ",", ")," + ",", ")&amp;", "))),OR(NOT(ISNUMBER(SEARCH(", MA,",", "&amp;SUBSTITUTE(SUBSTITUTE(G21,", ",", ")," + ",", ")&amp;", "))),ISNUMBER(SEARCH(", MA,",", "&amp;SUBSTITUTE(SUBSTITUTE(L21,", ",", ")," + ",", ")&amp;", "))),OR(NOT(ISNUMBER(SEARCH(", NA,",", "&amp;SUBSTITUTE(SUBSTITUTE(G21,", ",", ")," + ",", ")&amp;", "))),ISNUMBER(SEARCH(", NA,",", "&amp;SUBSTITUTE(SUBSTITUTE(L21,", ",", ")," + ",", ")&amp;", "))),OR(NOT(ISNUMBER(SEARCH(", TA,",", "&amp;SUBSTITUTE(SUBSTITUTE(G21,", ",", ")," + ",", ")&amp;", "))),ISNUMBER(SEARCH(", TA,",", "&amp;SUBSTITUTE(SUBSTITUTE(L21,", ",", ")," + ",", ")&amp;", "))),OR(NOT(ISNUMBER(SEARCH(", O/U,",", "&amp;SUBSTITUTE(SUBSTITUTE(G21,", ",", ")," + ",", ")&amp;", "))),ISNUMBER(SEARCH(", O/U,",", "&amp;SUBSTITUTE(SUBSTITUTE(L21,", ",", ")," + ",", ")&amp;", "))),OR(NOT(ISNUMBER(SEARCH(", KA,",", "&amp;SUBSTITUTE(SUBSTITUTE(G21,", ",", ")," + ",", ")&amp;", "))),ISNUMBER(SEARCH(", KA,",", "&amp;SUBSTITUTE(SUBSTITUTE(L21,", ",", ")," + ",", ")&amp;", "))),OR(NOT(ISNUMBER(SEARCH(", GA,",", "&amp;SUBSTITUTE(SUBSTITUTE(G21,", ",", ")," + ",", ")&amp;", "))),ISNUMBER(SEARCH(", GA,",", "&amp;SUBSTITUTE(SUBSTITUTE(L21,", ",", ")," + ",", ")&amp;", "))),OR(NOT(ISNUMBER(SEARCH(", SA,",", "&amp;SUBSTITUTE(SUBSTITUTE(G21,", ",", ")," + ",", ")&amp;", "))),ISNUMBER(SEARCH(", SA,",", "&amp;SUBSTITUTE(SUBSTITUTE(L21,", ",", ")," + ",", ")&amp;", "))),OR(NOT(ISNUMBER(SEARCH(", WA,",", "&amp;SUBSTITUTE(SUBSTITUTE(G21,", ",", ")," + ",", ")&amp;", "))),ISNUMBER(SEARCH(", WA,",", "&amp;SUBSTITUTE(SUBSTITUTE(L21,", ",", ")," + ",", ")&amp;", "))),OR(NOT(ISNUMBER(SEARCH(", YA,",", "&amp;SUBSTITUTE(SUBSTITUTE(G21,", ",", ")," + ",", ")&amp;", "))),ISNUMBER(SEARCH(", YA,",", "&amp;SUBSTITUTE(SUBSTITUTE(L21,", ",", ")," + ",", ")&amp;", "))),OR(NOT(ISNUMBER(SEARCH(", DA/RA,",", "&amp;SUBSTITUTE(SUBSTITUTE(G21,", ",", ")," + ",", ")&amp;", "))),ISNUMBER(SEARCH(", DA/RA,",", "&amp;SUBSTITUTE(SUBSTITUTE(L21,", ",", ")," + ",", ")&amp;", "))),OR(NOT(ISNUMBER(SEARCH(", HA,",", "&amp;SUBSTITUTE(SUBSTITUTE(G21,", ",", ")," + ",", ")&amp;", "))),ISNUMBER(SEARCH(", HA,",", "&amp;SUBSTITUTE(SUBSTITUTE(L21,", ",", ")," + ",", ")&amp;", "))),OR(NOT(ISNUMBER(SEARCH(", LA,",", "&amp;SUBSTITUTE(SUBSTITUTE(G21,", ",", ")," + ",", ")&amp;", "))),ISNUMBER(SEARCH(", LA,",", "&amp;SUBSTITUTE(SUBSTITUTE(L21,", ",", ")," + ",", ")&amp;", "))),OR(NOT(ISNUMBER(SEARCH(", NGA,",", "&amp;SUBSTITUTE(SUBSTITUTE(G21,", ",", ")," + ",", ")&amp;", "))),ISNUMBER(SEARCH(", NGA,",", "&amp;SUBSTITUTE(SUBSTITUTE(L21,", ",", ")," + ",", ")&amp;", "))),OR(NOT(ISNUMBER(SEARCH(", PA,",", "&amp;SUBSTITUTE(SUBSTITUTE(G21,", ",", ")," + ",", ")&amp;", "))),ISNUMBER(SEARCH(", PA,",", "&amp;SUBSTITUTE(SUBSTITUTE(L21,", ",", ")," + ",", ")&amp;", "))),OR(NOT(ISNUMBER(SEARCH(", A,",", "&amp;SUBSTITUTE(SUBSTITUTE(L20,", ",", ")," + ",", ")&amp;", "))),ISNUMBER(SEARCH(", A,",", "&amp;SUBSTITUTE(SUBSTITUTE(L21,", ",", ")," + ",", ")&amp;", "))),OR(NOT(ISNUMBER(SEARCH(", E/I,",", "&amp;SUBSTITUTE(SUBSTITUTE(L20,", ",", ")," + ",", ")&amp;", "))),ISNUMBER(SEARCH(", E/I,",", "&amp;SUBSTITUTE(SUBSTITUTE(L21,", ",", ")," + ",", ")&amp;", "))),OR(NOT(ISNUMBER(SEARCH(", BA,",", "&amp;SUBSTITUTE(SUBSTITUTE(L20,", ",", ")," + ",", ")&amp;", "))),ISNUMBER(SEARCH(", BA,",", "&amp;SUBSTITUTE(SUBSTITUTE(L21,", ",", ")," + ",", ")&amp;", "))),OR(NOT(ISNUMBER(SEARCH(", MA,",", "&amp;SUBSTITUTE(SUBSTITUTE(L20,", ",", ")," + ",", ")&amp;", "))),ISNUMBER(SEARCH(", MA,",", "&amp;SUBSTITUTE(SUBSTITUTE(L21,", ",", ")," + ",", ")&amp;", "))),OR(NOT(ISNUMBER(SEARCH(", NA,",", "&amp;SUBSTITUTE(SUBSTITUTE(L20,", ",", ")," + ",", ")&amp;", "))),ISNUMBER(SEARCH(", NA,",", "&amp;SUBSTITUTE(SUBSTITUTE(L21,", ",", ")," + ",", ")&amp;", "))),OR(NOT(ISNUMBER(SEARCH(", TA,",", "&amp;SUBSTITUTE(SUBSTITUTE(L20,", ",", ")," + ",", ")&amp;", "))),ISNUMBER(SEARCH(", TA,",", "&amp;SUBSTITUTE(SUBSTITUTE(L21,", ",", ")," + ",", ")&amp;", "))),OR(NOT(ISNUMBER(SEARCH(", O/U,",", "&amp;SUBSTITUTE(SUBSTITUTE(L20,", ",", ")," + ",", ")&amp;", "))),ISNUMBER(SEARCH(", O/U,",", "&amp;SUBSTITUTE(SUBSTITUTE(L21,", ",", ")," + ",", ")&amp;", "))),OR(NOT(ISNUMBER(SEARCH(", KA,",", "&amp;SUBSTITUTE(SUBSTITUTE(L20,", ",", ")," + ",", ")&amp;", "))),ISNUMBER(SEARCH(", KA,",", "&amp;SUBSTITUTE(SUBSTITUTE(L21,", ",", ")," + ",", ")&amp;", "))),OR(NOT(ISNUMBER(SEARCH(", GA,",", "&amp;SUBSTITUTE(SUBSTITUTE(L20,", ",", ")," + ",", ")&amp;", "))),ISNUMBER(SEARCH(", GA,",", "&amp;SUBSTITUTE(SUBSTITUTE(L21,", ",", ")," + ",", ")&amp;", "))),OR(NOT(ISNUMBER(SEARCH(", SA,",", "&amp;SUBSTITUTE(SUBSTITUTE(L20,", ",", ")," + ",", ")&amp;", "))),ISNUMBER(SEARCH(", SA,",", "&amp;SUBSTITUTE(SUBSTITUTE(L21,", ",", ")," + ",", ")&amp;", "))),OR(NOT(ISNUMBER(SEARCH(", WA,",", "&amp;SUBSTITUTE(SUBSTITUTE(L20,", ",", ")," + ",", ")&amp;", "))),ISNUMBER(SEARCH(", WA,",", "&amp;SUBSTITUTE(SUBSTITUTE(L21,", ",", ")," + ",", ")&amp;", "))),OR(NOT(ISNUMBER(SEARCH(", YA,",", "&amp;SUBSTITUTE(SUBSTITUTE(L20,", ",", ")," + ",", ")&amp;", "))),ISNUMBER(SEARCH(", YA,",", "&amp;SUBSTITUTE(SUBSTITUTE(L21,", ",", ")," + ",", ")&amp;", "))),OR(NOT(ISNUMBER(SEARCH(", DA/RA,",", "&amp;SUBSTITUTE(SUBSTITUTE(L20,", ",", ")," + ",", ")&amp;", "))),ISNUMBER(SEARCH(", DA/RA,",", "&amp;SUBSTITUTE(SUBSTITUTE(L21,", ",", ")," + ",", ")&amp;", "))),OR(NOT(ISNUMBER(SEARCH(", HA,",", "&amp;SUBSTITUTE(SUBSTITUTE(L20,", ",", ")," + ",", ")&amp;", "))),ISNUMBER(SEARCH(", HA,",", "&amp;SUBSTITUTE(SUBSTITUTE(L21,", ",", ")," + ",", ")&amp;", "))),OR(NOT(ISNUMBER(SEARCH(", LA,",", "&amp;SUBSTITUTE(SUBSTITUTE(L20,", ",", ")," + ",", ")&amp;", "))),ISNUMBER(SEARCH(", LA,",", "&amp;SUBSTITUTE(SUBSTITUTE(L21,", ",", ")," + ",", ")&amp;", "))),OR(NOT(ISNUMBER(SEARCH(", NGA,",", "&amp;SUBSTITUTE(SUBSTITUTE(L20,", ",", ")," + ",", ")&amp;", "))),ISNUMBER(SEARCH(", NGA,",", "&amp;SUBSTITUTE(SUBSTITUTE(L21,", ",", ")," + ",", ")&amp;", "))),OR(NOT(ISNUMBER(SEARCH(", PA,",", "&amp;SUBSTITUTE(SUBSTITUTE(L20,", ",", ")," + ",", ")&amp;", "))),ISNUMBER(SEARCH(", PA,",", "&amp;SUBSTITUTE(SUBSTITUTE(L21,", ",", ")," + ",", ")&amp;", ")))),"PASS","FAIL")</x:f>
        <x:v>PASS</x:v>
      </x:c>
      <x:c r="N21" s="47" t="str">
        <x:v>Original</x:v>
      </x:c>
      <x:c r="O21" s="47" t="str"/>
      <x:c r="P21" s="47" t="str">
        <x:v>None</x:v>
      </x:c>
      <x:c r="Q21" s="47" t="str">
        <x:f>IF(OR(ISNUMBER(SEARCH("kudlit",LOWER(E21))),ISNUMBER(SEARCH("ᜒ",E21)),ISNUMBER(SEARCH("ᜓ",E21))),"Yes","No")</x:f>
        <x:v>No</x:v>
      </x:c>
      <x:c r="R21" s="47" t="str">
        <x:f>IF(OR(ISNUMBER(SEARCH("BE",E21)),ISNUMBER(SEARCH("BI",E21)),ISNUMBER(SEARCH("BO",E21)),ISNUMBER(SEARCH("BU",E21)),ISNUMBER(SEARCH("DE",E21)),ISNUMBER(SEARCH("DI",E21)),ISNUMBER(SEARCH("DO",E21)),ISNUMBER(SEARCH("DU",E21)),ISNUMBER(SEARCH("GE",E21)),ISNUMBER(SEARCH("GI",E21)),ISNUMBER(SEARCH("GO",E21)),ISNUMBER(SEARCH("GU",E21)),ISNUMBER(SEARCH("HE",E21)),ISNUMBER(SEARCH("HI",E21)),ISNUMBER(SEARCH("HO",E21)),ISNUMBER(SEARCH("HU",E21)),ISNUMBER(SEARCH("KE",E21)),ISNUMBER(SEARCH("KI",E21)),ISNUMBER(SEARCH("KO",E21)),ISNUMBER(SEARCH("KU",E21)),ISNUMBER(SEARCH("LE",E21)),ISNUMBER(SEARCH("LI",E21)),ISNUMBER(SEARCH("LO",E21)),ISNUMBER(SEARCH("LU",E21)),ISNUMBER(SEARCH("ME",E21)),ISNUMBER(SEARCH("MI",E21)),ISNUMBER(SEARCH("MO",E21)),ISNUMBER(SEARCH("MU",E21)),ISNUMBER(SEARCH("NE",E21)),ISNUMBER(SEARCH("NI",E21)),ISNUMBER(SEARCH("NO",E21)),ISNUMBER(SEARCH("NU",E21)),ISNUMBER(SEARCH("PE",E21)),ISNUMBER(SEARCH("PI",E21)),ISNUMBER(SEARCH("PO",E21)),ISNUMBER(SEARCH("PU",E21)),ISNUMBER(SEARCH("RE",E21)),ISNUMBER(SEARCH("RI",E21)),ISNUMBER(SEARCH("RO",E21)),ISNUMBER(SEARCH("RU",E21)),ISNUMBER(SEARCH("SE",E21)),ISNUMBER(SEARCH("SI",E21)),ISNUMBER(SEARCH("SO",E21)),ISNUMBER(SEARCH("SU",E21)),ISNUMBER(SEARCH("TE",E21)),ISNUMBER(SEARCH("TI",E21)),ISNUMBER(SEARCH("TO",E21)),ISNUMBER(SEARCH("TU",E21)),ISNUMBER(SEARCH("WE",E21)),ISNUMBER(SEARCH("WI",E21)),ISNUMBER(SEARCH("WO",E21)),ISNUMBER(SEARCH("WU",E21)),ISNUMBER(SEARCH("YE",E21)),ISNUMBER(SEARCH("YI",E21)),ISNUMBER(SEARCH("YO",E21)),ISNUMBER(SEARCH("YU",E21))),"Yes","No")</x:f>
        <x:v>No</x:v>
      </x:c>
      <x:c r="S21" s="47" t="str">
        <x:v>Era 2 - Ugnayan!D16</x:v>
      </x:c>
      <x:c r="T21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21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21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21," + "))=COUNTA(TEXTSPLIT(G21," + "))),"PASS","FAIL")</x:f>
        <x:v>PASS</x:v>
      </x:c>
      <x:c r="U21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21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"&amp;SUBSTITUTE(SUBSTITUTE(G21,", ",", ")," + ",", ")&amp;", "))),AND('Character Matrix'!$J$8&lt;&gt;"",'Character Matrix'!$Q$8&lt;&gt;"Missing",'Character Matrix'!$Q$8&lt;&gt;"Conflicting")),OR(NOT(ISNUMBER(SEARCH(", E/I,",", "&amp;SUBSTITUTE(SUBSTITUTE(G21,", ",", ")," + ",", ")&amp;", "))),AND('Character Matrix'!$J$9&lt;&gt;"",'Character Matrix'!$Q$9&lt;&gt;"Missing",'Character Matrix'!$Q$9&lt;&gt;"Conflicting")),OR(NOT(ISNUMBER(SEARCH(", BA,",", "&amp;SUBSTITUTE(SUBSTITUTE(G21,", ",", ")," + ",", ")&amp;", "))),AND('Character Matrix'!$J$10&lt;&gt;"",'Character Matrix'!$Q$10&lt;&gt;"Missing",'Character Matrix'!$Q$10&lt;&gt;"Conflicting")),OR(NOT(ISNUMBER(SEARCH(", MA,",", "&amp;SUBSTITUTE(SUBSTITUTE(G21,", ",", ")," + ",", ")&amp;", "))),AND('Character Matrix'!$J$11&lt;&gt;"",'Character Matrix'!$Q$11&lt;&gt;"Missing",'Character Matrix'!$Q$11&lt;&gt;"Conflicting")),OR(NOT(ISNUMBER(SEARCH(", NA,",", "&amp;SUBSTITUTE(SUBSTITUTE(G21,", ",", ")," + ",", ")&amp;", "))),AND('Character Matrix'!$J$12&lt;&gt;"",'Character Matrix'!$Q$12&lt;&gt;"Missing",'Character Matrix'!$Q$12&lt;&gt;"Conflicting")),OR(NOT(ISNUMBER(SEARCH(", TA,",", "&amp;SUBSTITUTE(SUBSTITUTE(G21,", ",", ")," + ",", ")&amp;", "))),AND('Character Matrix'!$J$13&lt;&gt;"",'Character Matrix'!$Q$13&lt;&gt;"Missing",'Character Matrix'!$Q$13&lt;&gt;"Conflicting")),OR(NOT(ISNUMBER(SEARCH(", O/U,",", "&amp;SUBSTITUTE(SUBSTITUTE(G21,", ",", ")," + ",", ")&amp;", "))),AND('Character Matrix'!$J$14&lt;&gt;"",'Character Matrix'!$Q$14&lt;&gt;"Missing",'Character Matrix'!$Q$14&lt;&gt;"Conflicting")),OR(NOT(ISNUMBER(SEARCH(", KA,",", "&amp;SUBSTITUTE(SUBSTITUTE(G21,", ",", ")," + ",", ")&amp;", "))),AND('Character Matrix'!$J$15&lt;&gt;"",'Character Matrix'!$Q$15&lt;&gt;"Missing",'Character Matrix'!$Q$15&lt;&gt;"Conflicting")),OR(NOT(ISNUMBER(SEARCH(", GA,",", "&amp;SUBSTITUTE(SUBSTITUTE(G21,", ",", ")," + ",", ")&amp;", "))),AND('Character Matrix'!$J$16&lt;&gt;"",'Character Matrix'!$Q$16&lt;&gt;"Missing",'Character Matrix'!$Q$16&lt;&gt;"Conflicting")),OR(NOT(ISNUMBER(SEARCH(", SA,",", "&amp;SUBSTITUTE(SUBSTITUTE(G21,", ",", ")," + ",", ")&amp;", "))),AND('Character Matrix'!$J$17&lt;&gt;"",'Character Matrix'!$Q$17&lt;&gt;"Missing",'Character Matrix'!$Q$17&lt;&gt;"Conflicting")),OR(NOT(ISNUMBER(SEARCH(", WA,",", "&amp;SUBSTITUTE(SUBSTITUTE(G21,", ",", ")," + ",", ")&amp;", "))),AND('Character Matrix'!$J$18&lt;&gt;"",'Character Matrix'!$Q$18&lt;&gt;"Missing",'Character Matrix'!$Q$18&lt;&gt;"Conflicting")),OR(NOT(ISNUMBER(SEARCH(", YA,",", "&amp;SUBSTITUTE(SUBSTITUTE(G21,", ",", ")," + ",", ")&amp;", "))),AND('Character Matrix'!$J$19&lt;&gt;"",'Character Matrix'!$Q$19&lt;&gt;"Missing",'Character Matrix'!$Q$19&lt;&gt;"Conflicting")),OR(NOT(ISNUMBER(SEARCH(", DA/RA,",", "&amp;SUBSTITUTE(SUBSTITUTE(G21,", ",", ")," + ",", ")&amp;", "))),AND('Character Matrix'!$J$20&lt;&gt;"",'Character Matrix'!$Q$20&lt;&gt;"Missing",'Character Matrix'!$Q$20&lt;&gt;"Conflicting")),OR(NOT(ISNUMBER(SEARCH(", HA,",", "&amp;SUBSTITUTE(SUBSTITUTE(G21,", ",", ")," + ",", ")&amp;", "))),AND('Character Matrix'!$J$21&lt;&gt;"",'Character Matrix'!$Q$21&lt;&gt;"Missing",'Character Matrix'!$Q$21&lt;&gt;"Conflicting")),OR(NOT(ISNUMBER(SEARCH(", LA,",", "&amp;SUBSTITUTE(SUBSTITUTE(G21,", ",", ")," + ",", ")&amp;", "))),AND('Character Matrix'!$J$22&lt;&gt;"",'Character Matrix'!$Q$22&lt;&gt;"Missing",'Character Matrix'!$Q$22&lt;&gt;"Conflicting")),OR(NOT(ISNUMBER(SEARCH(", NGA,",", "&amp;SUBSTITUTE(SUBSTITUTE(G21,", ",", ")," + ",", ")&amp;", "))),AND('Character Matrix'!$J$23&lt;&gt;"",'Character Matrix'!$Q$23&lt;&gt;"Missing",'Character Matrix'!$Q$23&lt;&gt;"Conflicting")),OR(NOT(ISNUMBER(SEARCH(", PA,",", "&amp;SUBSTITUTE(SUBSTITUTE(G21,", ",", ")," + ",", ")&amp;", "))),AND('Character Matrix'!$J$24&lt;&gt;"",'Character Matrix'!$Q$24&lt;&gt;"Missing",'Character Matrix'!$Q$24&lt;&gt;"Conflicting"))),"PASS","FAIL")</x:f>
        <x:v>PASS</x:v>
      </x:c>
      <x:c r="V21" s="48" t="str">
        <x:f>IF(AND(M21="PASS",Q21="No",R21="No",T21="PASS",U21="PASS",OR(K21="N/A",K21="PASS")),"PASS","FAIL")</x:f>
        <x:v>PASS</x:v>
      </x:c>
    </x:row>
    <x:row r="22" ht="52" customHeight="1">
      <x:c r="A22" s="46" t="n">
        <x:v>8</x:v>
      </x:c>
      <x:c r="B22" s="47" t="str">
        <x:v>Ugnayan</x:v>
      </x:c>
      <x:c r="C22" s="47" t="n">
        <x:v>3</x:v>
      </x:c>
      <x:c r="D22" s="47" t="n">
        <x:v>1</x:v>
      </x:c>
      <x:c r="E22" s="47" t="str">
        <x:v>GANA</x:v>
      </x:c>
      <x:c r="F22" s="47" t="str">
        <x:v>GA + NA</x:v>
      </x:c>
      <x:c r="G22" s="47" t="str">
        <x:v>GA + NA</x:v>
      </x:c>
      <x:c r="H22" s="47" t="str">
        <x:v>NA</x:v>
      </x:c>
      <x:c r="I22" s="47" t="str">
        <x:v>NA</x:v>
      </x:c>
      <x:c r="J22" s="47" t="str"/>
      <x:c r="K22" s="47" t="str">
        <x:f>IF(D22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22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22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22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22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N/A</x:v>
      </x:c>
      <x:c r="L22" s="47" t="str">
        <x:v>A, E/I, BA, MA, NA, TA, KA, GA, SA, WA, YA</x:v>
      </x:c>
      <x:c r="M22" s="47" t="str">
        <x:f>IF(AND(LEN(L22)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22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22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22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"&amp;SUBSTITUTE(SUBSTITUTE(G22,", ",", ")," + ",", ")&amp;", "))),ISNUMBER(SEARCH(", A,",", "&amp;SUBSTITUTE(SUBSTITUTE(L22,", ",", ")," + ",", ")&amp;", "))),OR(NOT(ISNUMBER(SEARCH(", E/I,",", "&amp;SUBSTITUTE(SUBSTITUTE(G22,", ",", ")," + ",", ")&amp;", "))),ISNUMBER(SEARCH(", E/I,",", "&amp;SUBSTITUTE(SUBSTITUTE(L22,", ",", ")," + ",", ")&amp;", "))),OR(NOT(ISNUMBER(SEARCH(", BA,",", "&amp;SUBSTITUTE(SUBSTITUTE(G22,", ",", ")," + ",", ")&amp;", "))),ISNUMBER(SEARCH(", BA,",", "&amp;SUBSTITUTE(SUBSTITUTE(L22,", ",", ")," + ",", ")&amp;", "))),OR(NOT(ISNUMBER(SEARCH(", MA,",", "&amp;SUBSTITUTE(SUBSTITUTE(G22,", ",", ")," + ",", ")&amp;", "))),ISNUMBER(SEARCH(", MA,",", "&amp;SUBSTITUTE(SUBSTITUTE(L22,", ",", ")," + ",", ")&amp;", "))),OR(NOT(ISNUMBER(SEARCH(", NA,",", "&amp;SUBSTITUTE(SUBSTITUTE(G22,", ",", ")," + ",", ")&amp;", "))),ISNUMBER(SEARCH(", NA,",", "&amp;SUBSTITUTE(SUBSTITUTE(L22,", ",", ")," + ",", ")&amp;", "))),OR(NOT(ISNUMBER(SEARCH(", TA,",", "&amp;SUBSTITUTE(SUBSTITUTE(G22,", ",", ")," + ",", ")&amp;", "))),ISNUMBER(SEARCH(", TA,",", "&amp;SUBSTITUTE(SUBSTITUTE(L22,", ",", ")," + ",", ")&amp;", "))),OR(NOT(ISNUMBER(SEARCH(", O/U,",", "&amp;SUBSTITUTE(SUBSTITUTE(G22,", ",", ")," + ",", ")&amp;", "))),ISNUMBER(SEARCH(", O/U,",", "&amp;SUBSTITUTE(SUBSTITUTE(L22,", ",", ")," + ",", ")&amp;", "))),OR(NOT(ISNUMBER(SEARCH(", KA,",", "&amp;SUBSTITUTE(SUBSTITUTE(G22,", ",", ")," + ",", ")&amp;", "))),ISNUMBER(SEARCH(", KA,",", "&amp;SUBSTITUTE(SUBSTITUTE(L22,", ",", ")," + ",", ")&amp;", "))),OR(NOT(ISNUMBER(SEARCH(", GA,",", "&amp;SUBSTITUTE(SUBSTITUTE(G22,", ",", ")," + ",", ")&amp;", "))),ISNUMBER(SEARCH(", GA,",", "&amp;SUBSTITUTE(SUBSTITUTE(L22,", ",", ")," + ",", ")&amp;", "))),OR(NOT(ISNUMBER(SEARCH(", SA,",", "&amp;SUBSTITUTE(SUBSTITUTE(G22,", ",", ")," + ",", ")&amp;", "))),ISNUMBER(SEARCH(", SA,",", "&amp;SUBSTITUTE(SUBSTITUTE(L22,", ",", ")," + ",", ")&amp;", "))),OR(NOT(ISNUMBER(SEARCH(", WA,",", "&amp;SUBSTITUTE(SUBSTITUTE(G22,", ",", ")," + ",", ")&amp;", "))),ISNUMBER(SEARCH(", WA,",", "&amp;SUBSTITUTE(SUBSTITUTE(L22,", ",", ")," + ",", ")&amp;", "))),OR(NOT(ISNUMBER(SEARCH(", YA,",", "&amp;SUBSTITUTE(SUBSTITUTE(G22,", ",", ")," + ",", ")&amp;", "))),ISNUMBER(SEARCH(", YA,",", "&amp;SUBSTITUTE(SUBSTITUTE(L22,", ",", ")," + ",", ")&amp;", "))),OR(NOT(ISNUMBER(SEARCH(", DA/RA,",", "&amp;SUBSTITUTE(SUBSTITUTE(G22,", ",", ")," + ",", ")&amp;", "))),ISNUMBER(SEARCH(", DA/RA,",", "&amp;SUBSTITUTE(SUBSTITUTE(L22,", ",", ")," + ",", ")&amp;", "))),OR(NOT(ISNUMBER(SEARCH(", HA,",", "&amp;SUBSTITUTE(SUBSTITUTE(G22,", ",", ")," + ",", ")&amp;", "))),ISNUMBER(SEARCH(", HA,",", "&amp;SUBSTITUTE(SUBSTITUTE(L22,", ",", ")," + ",", ")&amp;", "))),OR(NOT(ISNUMBER(SEARCH(", LA,",", "&amp;SUBSTITUTE(SUBSTITUTE(G22,", ",", ")," + ",", ")&amp;", "))),ISNUMBER(SEARCH(", LA,",", "&amp;SUBSTITUTE(SUBSTITUTE(L22,", ",", ")," + ",", ")&amp;", "))),OR(NOT(ISNUMBER(SEARCH(", NGA,",", "&amp;SUBSTITUTE(SUBSTITUTE(G22,", ",", ")," + ",", ")&amp;", "))),ISNUMBER(SEARCH(", NGA,",", "&amp;SUBSTITUTE(SUBSTITUTE(L22,", ",", ")," + ",", ")&amp;", "))),OR(NOT(ISNUMBER(SEARCH(", PA,",", "&amp;SUBSTITUTE(SUBSTITUTE(G22,", ",", ")," + ",", ")&amp;", "))),ISNUMBER(SEARCH(", PA,",", "&amp;SUBSTITUTE(SUBSTITUTE(L22,", ",", ")," + ",", ")&amp;", "))),OR(NOT(ISNUMBER(SEARCH(", A,",", "&amp;SUBSTITUTE(SUBSTITUTE(L21,", ",", ")," + ",", ")&amp;", "))),ISNUMBER(SEARCH(", A,",", "&amp;SUBSTITUTE(SUBSTITUTE(L22,", ",", ")," + ",", ")&amp;", "))),OR(NOT(ISNUMBER(SEARCH(", E/I,",", "&amp;SUBSTITUTE(SUBSTITUTE(L21,", ",", ")," + ",", ")&amp;", "))),ISNUMBER(SEARCH(", E/I,",", "&amp;SUBSTITUTE(SUBSTITUTE(L22,", ",", ")," + ",", ")&amp;", "))),OR(NOT(ISNUMBER(SEARCH(", BA,",", "&amp;SUBSTITUTE(SUBSTITUTE(L21,", ",", ")," + ",", ")&amp;", "))),ISNUMBER(SEARCH(", BA,",", "&amp;SUBSTITUTE(SUBSTITUTE(L22,", ",", ")," + ",", ")&amp;", "))),OR(NOT(ISNUMBER(SEARCH(", MA,",", "&amp;SUBSTITUTE(SUBSTITUTE(L21,", ",", ")," + ",", ")&amp;", "))),ISNUMBER(SEARCH(", MA,",", "&amp;SUBSTITUTE(SUBSTITUTE(L22,", ",", ")," + ",", ")&amp;", "))),OR(NOT(ISNUMBER(SEARCH(", NA,",", "&amp;SUBSTITUTE(SUBSTITUTE(L21,", ",", ")," + ",", ")&amp;", "))),ISNUMBER(SEARCH(", NA,",", "&amp;SUBSTITUTE(SUBSTITUTE(L22,", ",", ")," + ",", ")&amp;", "))),OR(NOT(ISNUMBER(SEARCH(", TA,",", "&amp;SUBSTITUTE(SUBSTITUTE(L21,", ",", ")," + ",", ")&amp;", "))),ISNUMBER(SEARCH(", TA,",", "&amp;SUBSTITUTE(SUBSTITUTE(L22,", ",", ")," + ",", ")&amp;", "))),OR(NOT(ISNUMBER(SEARCH(", O/U,",", "&amp;SUBSTITUTE(SUBSTITUTE(L21,", ",", ")," + ",", ")&amp;", "))),ISNUMBER(SEARCH(", O/U,",", "&amp;SUBSTITUTE(SUBSTITUTE(L22,", ",", ")," + ",", ")&amp;", "))),OR(NOT(ISNUMBER(SEARCH(", KA,",", "&amp;SUBSTITUTE(SUBSTITUTE(L21,", ",", ")," + ",", ")&amp;", "))),ISNUMBER(SEARCH(", KA,",", "&amp;SUBSTITUTE(SUBSTITUTE(L22,", ",", ")," + ",", ")&amp;", "))),OR(NOT(ISNUMBER(SEARCH(", GA,",", "&amp;SUBSTITUTE(SUBSTITUTE(L21,", ",", ")," + ",", ")&amp;", "))),ISNUMBER(SEARCH(", GA,",", "&amp;SUBSTITUTE(SUBSTITUTE(L22,", ",", ")," + ",", ")&amp;", "))),OR(NOT(ISNUMBER(SEARCH(", SA,",", "&amp;SUBSTITUTE(SUBSTITUTE(L21,", ",", ")," + ",", ")&amp;", "))),ISNUMBER(SEARCH(", SA,",", "&amp;SUBSTITUTE(SUBSTITUTE(L22,", ",", ")," + ",", ")&amp;", "))),OR(NOT(ISNUMBER(SEARCH(", WA,",", "&amp;SUBSTITUTE(SUBSTITUTE(L21,", ",", ")," + ",", ")&amp;", "))),ISNUMBER(SEARCH(", WA,",", "&amp;SUBSTITUTE(SUBSTITUTE(L22,", ",", ")," + ",", ")&amp;", "))),OR(NOT(ISNUMBER(SEARCH(", YA,",", "&amp;SUBSTITUTE(SUBSTITUTE(L21,", ",", ")," + ",", ")&amp;", "))),ISNUMBER(SEARCH(", YA,",", "&amp;SUBSTITUTE(SUBSTITUTE(L22,", ",", ")," + ",", ")&amp;", "))),OR(NOT(ISNUMBER(SEARCH(", DA/RA,",", "&amp;SUBSTITUTE(SUBSTITUTE(L21,", ",", ")," + ",", ")&amp;", "))),ISNUMBER(SEARCH(", DA/RA,",", "&amp;SUBSTITUTE(SUBSTITUTE(L22,", ",", ")," + ",", ")&amp;", "))),OR(NOT(ISNUMBER(SEARCH(", HA,",", "&amp;SUBSTITUTE(SUBSTITUTE(L21,", ",", ")," + ",", ")&amp;", "))),ISNUMBER(SEARCH(", HA,",", "&amp;SUBSTITUTE(SUBSTITUTE(L22,", ",", ")," + ",", ")&amp;", "))),OR(NOT(ISNUMBER(SEARCH(", LA,",", "&amp;SUBSTITUTE(SUBSTITUTE(L21,", ",", ")," + ",", ")&amp;", "))),ISNUMBER(SEARCH(", LA,",", "&amp;SUBSTITUTE(SUBSTITUTE(L22,", ",", ")," + ",", ")&amp;", "))),OR(NOT(ISNUMBER(SEARCH(", NGA,",", "&amp;SUBSTITUTE(SUBSTITUTE(L21,", ",", ")," + ",", ")&amp;", "))),ISNUMBER(SEARCH(", NGA,",", "&amp;SUBSTITUTE(SUBSTITUTE(L22,", ",", ")," + ",", ")&amp;", "))),OR(NOT(ISNUMBER(SEARCH(", PA,",", "&amp;SUBSTITUTE(SUBSTITUTE(L21,", ",", ")," + ",", ")&amp;", "))),ISNUMBER(SEARCH(", PA,",", "&amp;SUBSTITUTE(SUBSTITUTE(L22,", ",", ")," + ",", ")&amp;", ")))),"PASS","FAIL")</x:f>
        <x:v>PASS</x:v>
      </x:c>
      <x:c r="N22" s="47" t="str">
        <x:v>Original</x:v>
      </x:c>
      <x:c r="O22" s="47" t="str"/>
      <x:c r="P22" s="47" t="str">
        <x:v>None</x:v>
      </x:c>
      <x:c r="Q22" s="47" t="str">
        <x:f>IF(OR(ISNUMBER(SEARCH("kudlit",LOWER(E22))),ISNUMBER(SEARCH("ᜒ",E22)),ISNUMBER(SEARCH("ᜓ",E22))),"Yes","No")</x:f>
        <x:v>No</x:v>
      </x:c>
      <x:c r="R22" s="47" t="str">
        <x:f>IF(OR(ISNUMBER(SEARCH("BE",E22)),ISNUMBER(SEARCH("BI",E22)),ISNUMBER(SEARCH("BO",E22)),ISNUMBER(SEARCH("BU",E22)),ISNUMBER(SEARCH("DE",E22)),ISNUMBER(SEARCH("DI",E22)),ISNUMBER(SEARCH("DO",E22)),ISNUMBER(SEARCH("DU",E22)),ISNUMBER(SEARCH("GE",E22)),ISNUMBER(SEARCH("GI",E22)),ISNUMBER(SEARCH("GO",E22)),ISNUMBER(SEARCH("GU",E22)),ISNUMBER(SEARCH("HE",E22)),ISNUMBER(SEARCH("HI",E22)),ISNUMBER(SEARCH("HO",E22)),ISNUMBER(SEARCH("HU",E22)),ISNUMBER(SEARCH("KE",E22)),ISNUMBER(SEARCH("KI",E22)),ISNUMBER(SEARCH("KO",E22)),ISNUMBER(SEARCH("KU",E22)),ISNUMBER(SEARCH("LE",E22)),ISNUMBER(SEARCH("LI",E22)),ISNUMBER(SEARCH("LO",E22)),ISNUMBER(SEARCH("LU",E22)),ISNUMBER(SEARCH("ME",E22)),ISNUMBER(SEARCH("MI",E22)),ISNUMBER(SEARCH("MO",E22)),ISNUMBER(SEARCH("MU",E22)),ISNUMBER(SEARCH("NE",E22)),ISNUMBER(SEARCH("NI",E22)),ISNUMBER(SEARCH("NO",E22)),ISNUMBER(SEARCH("NU",E22)),ISNUMBER(SEARCH("PE",E22)),ISNUMBER(SEARCH("PI",E22)),ISNUMBER(SEARCH("PO",E22)),ISNUMBER(SEARCH("PU",E22)),ISNUMBER(SEARCH("RE",E22)),ISNUMBER(SEARCH("RI",E22)),ISNUMBER(SEARCH("RO",E22)),ISNUMBER(SEARCH("RU",E22)),ISNUMBER(SEARCH("SE",E22)),ISNUMBER(SEARCH("SI",E22)),ISNUMBER(SEARCH("SO",E22)),ISNUMBER(SEARCH("SU",E22)),ISNUMBER(SEARCH("TE",E22)),ISNUMBER(SEARCH("TI",E22)),ISNUMBER(SEARCH("TO",E22)),ISNUMBER(SEARCH("TU",E22)),ISNUMBER(SEARCH("WE",E22)),ISNUMBER(SEARCH("WI",E22)),ISNUMBER(SEARCH("WO",E22)),ISNUMBER(SEARCH("WU",E22)),ISNUMBER(SEARCH("YE",E22)),ISNUMBER(SEARCH("YI",E22)),ISNUMBER(SEARCH("YO",E22)),ISNUMBER(SEARCH("YU",E22))),"Yes","No")</x:f>
        <x:v>No</x:v>
      </x:c>
      <x:c r="S22" s="47" t="str">
        <x:v>Era 2 - Ugnayan!D17</x:v>
      </x:c>
      <x:c r="T22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22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22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22," + "))=COUNTA(TEXTSPLIT(G22," + "))),"PASS","FAIL")</x:f>
        <x:v>PASS</x:v>
      </x:c>
      <x:c r="U22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22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"&amp;SUBSTITUTE(SUBSTITUTE(G22,", ",", ")," + ",", ")&amp;", "))),AND('Character Matrix'!$J$8&lt;&gt;"",'Character Matrix'!$Q$8&lt;&gt;"Missing",'Character Matrix'!$Q$8&lt;&gt;"Conflicting")),OR(NOT(ISNUMBER(SEARCH(", E/I,",", "&amp;SUBSTITUTE(SUBSTITUTE(G22,", ",", ")," + ",", ")&amp;", "))),AND('Character Matrix'!$J$9&lt;&gt;"",'Character Matrix'!$Q$9&lt;&gt;"Missing",'Character Matrix'!$Q$9&lt;&gt;"Conflicting")),OR(NOT(ISNUMBER(SEARCH(", BA,",", "&amp;SUBSTITUTE(SUBSTITUTE(G22,", ",", ")," + ",", ")&amp;", "))),AND('Character Matrix'!$J$10&lt;&gt;"",'Character Matrix'!$Q$10&lt;&gt;"Missing",'Character Matrix'!$Q$10&lt;&gt;"Conflicting")),OR(NOT(ISNUMBER(SEARCH(", MA,",", "&amp;SUBSTITUTE(SUBSTITUTE(G22,", ",", ")," + ",", ")&amp;", "))),AND('Character Matrix'!$J$11&lt;&gt;"",'Character Matrix'!$Q$11&lt;&gt;"Missing",'Character Matrix'!$Q$11&lt;&gt;"Conflicting")),OR(NOT(ISNUMBER(SEARCH(", NA,",", "&amp;SUBSTITUTE(SUBSTITUTE(G22,", ",", ")," + ",", ")&amp;", "))),AND('Character Matrix'!$J$12&lt;&gt;"",'Character Matrix'!$Q$12&lt;&gt;"Missing",'Character Matrix'!$Q$12&lt;&gt;"Conflicting")),OR(NOT(ISNUMBER(SEARCH(", TA,",", "&amp;SUBSTITUTE(SUBSTITUTE(G22,", ",", ")," + ",", ")&amp;", "))),AND('Character Matrix'!$J$13&lt;&gt;"",'Character Matrix'!$Q$13&lt;&gt;"Missing",'Character Matrix'!$Q$13&lt;&gt;"Conflicting")),OR(NOT(ISNUMBER(SEARCH(", O/U,",", "&amp;SUBSTITUTE(SUBSTITUTE(G22,", ",", ")," + ",", ")&amp;", "))),AND('Character Matrix'!$J$14&lt;&gt;"",'Character Matrix'!$Q$14&lt;&gt;"Missing",'Character Matrix'!$Q$14&lt;&gt;"Conflicting")),OR(NOT(ISNUMBER(SEARCH(", KA,",", "&amp;SUBSTITUTE(SUBSTITUTE(G22,", ",", ")," + ",", ")&amp;", "))),AND('Character Matrix'!$J$15&lt;&gt;"",'Character Matrix'!$Q$15&lt;&gt;"Missing",'Character Matrix'!$Q$15&lt;&gt;"Conflicting")),OR(NOT(ISNUMBER(SEARCH(", GA,",", "&amp;SUBSTITUTE(SUBSTITUTE(G22,", ",", ")," + ",", ")&amp;", "))),AND('Character Matrix'!$J$16&lt;&gt;"",'Character Matrix'!$Q$16&lt;&gt;"Missing",'Character Matrix'!$Q$16&lt;&gt;"Conflicting")),OR(NOT(ISNUMBER(SEARCH(", SA,",", "&amp;SUBSTITUTE(SUBSTITUTE(G22,", ",", ")," + ",", ")&amp;", "))),AND('Character Matrix'!$J$17&lt;&gt;"",'Character Matrix'!$Q$17&lt;&gt;"Missing",'Character Matrix'!$Q$17&lt;&gt;"Conflicting")),OR(NOT(ISNUMBER(SEARCH(", WA,",", "&amp;SUBSTITUTE(SUBSTITUTE(G22,", ",", ")," + ",", ")&amp;", "))),AND('Character Matrix'!$J$18&lt;&gt;"",'Character Matrix'!$Q$18&lt;&gt;"Missing",'Character Matrix'!$Q$18&lt;&gt;"Conflicting")),OR(NOT(ISNUMBER(SEARCH(", YA,",", "&amp;SUBSTITUTE(SUBSTITUTE(G22,", ",", ")," + ",", ")&amp;", "))),AND('Character Matrix'!$J$19&lt;&gt;"",'Character Matrix'!$Q$19&lt;&gt;"Missing",'Character Matrix'!$Q$19&lt;&gt;"Conflicting")),OR(NOT(ISNUMBER(SEARCH(", DA/RA,",", "&amp;SUBSTITUTE(SUBSTITUTE(G22,", ",", ")," + ",", ")&amp;", "))),AND('Character Matrix'!$J$20&lt;&gt;"",'Character Matrix'!$Q$20&lt;&gt;"Missing",'Character Matrix'!$Q$20&lt;&gt;"Conflicting")),OR(NOT(ISNUMBER(SEARCH(", HA,",", "&amp;SUBSTITUTE(SUBSTITUTE(G22,", ",", ")," + ",", ")&amp;", "))),AND('Character Matrix'!$J$21&lt;&gt;"",'Character Matrix'!$Q$21&lt;&gt;"Missing",'Character Matrix'!$Q$21&lt;&gt;"Conflicting")),OR(NOT(ISNUMBER(SEARCH(", LA,",", "&amp;SUBSTITUTE(SUBSTITUTE(G22,", ",", ")," + ",", ")&amp;", "))),AND('Character Matrix'!$J$22&lt;&gt;"",'Character Matrix'!$Q$22&lt;&gt;"Missing",'Character Matrix'!$Q$22&lt;&gt;"Conflicting")),OR(NOT(ISNUMBER(SEARCH(", NGA,",", "&amp;SUBSTITUTE(SUBSTITUTE(G22,", ",", ")," + ",", ")&amp;", "))),AND('Character Matrix'!$J$23&lt;&gt;"",'Character Matrix'!$Q$23&lt;&gt;"Missing",'Character Matrix'!$Q$23&lt;&gt;"Conflicting")),OR(NOT(ISNUMBER(SEARCH(", PA,",", "&amp;SUBSTITUTE(SUBSTITUTE(G22,", ",", ")," + ",", ")&amp;", "))),AND('Character Matrix'!$J$24&lt;&gt;"",'Character Matrix'!$Q$24&lt;&gt;"Missing",'Character Matrix'!$Q$24&lt;&gt;"Conflicting"))),"PASS","FAIL")</x:f>
        <x:v>PASS</x:v>
      </x:c>
      <x:c r="V22" s="48" t="str">
        <x:f>IF(AND(M22="PASS",Q22="No",R22="No",T22="PASS",U22="PASS",OR(K22="N/A",K22="PASS")),"PASS","FAIL")</x:f>
        <x:v>PASS</x:v>
      </x:c>
    </x:row>
    <x:row r="23" ht="52" customHeight="1">
      <x:c r="A23" s="46" t="n">
        <x:v>8</x:v>
      </x:c>
      <x:c r="B23" s="47" t="str">
        <x:v>Ugnayan</x:v>
      </x:c>
      <x:c r="C23" s="47" t="n">
        <x:v>3</x:v>
      </x:c>
      <x:c r="D23" s="47" t="n">
        <x:v>2</x:v>
      </x:c>
      <x:c r="E23" s="47" t="str">
        <x:v>KAYA</x:v>
      </x:c>
      <x:c r="F23" s="47" t="str">
        <x:v>KA + YA</x:v>
      </x:c>
      <x:c r="G23" s="47" t="str">
        <x:v>KA + YA</x:v>
      </x:c>
      <x:c r="H23" s="47" t="str">
        <x:v>YA</x:v>
      </x:c>
      <x:c r="I23" s="47" t="str">
        <x:v>YA</x:v>
      </x:c>
      <x:c r="J23" s="47" t="str">
        <x:v>YA</x:v>
      </x:c>
      <x:c r="K23" s="47" t="str">
        <x:f>IF(D23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23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23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23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23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PASS</x:v>
      </x:c>
      <x:c r="L23" s="47" t="str">
        <x:v>A, E/I, BA, MA, NA, TA, KA, GA, SA, WA, YA</x:v>
      </x:c>
      <x:c r="M23" s="47" t="str">
        <x:f>IF(AND(LEN(L23)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23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23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23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"&amp;SUBSTITUTE(SUBSTITUTE(G23,", ",", ")," + ",", ")&amp;", "))),ISNUMBER(SEARCH(", A,",", "&amp;SUBSTITUTE(SUBSTITUTE(L23,", ",", ")," + ",", ")&amp;", "))),OR(NOT(ISNUMBER(SEARCH(", E/I,",", "&amp;SUBSTITUTE(SUBSTITUTE(G23,", ",", ")," + ",", ")&amp;", "))),ISNUMBER(SEARCH(", E/I,",", "&amp;SUBSTITUTE(SUBSTITUTE(L23,", ",", ")," + ",", ")&amp;", "))),OR(NOT(ISNUMBER(SEARCH(", BA,",", "&amp;SUBSTITUTE(SUBSTITUTE(G23,", ",", ")," + ",", ")&amp;", "))),ISNUMBER(SEARCH(", BA,",", "&amp;SUBSTITUTE(SUBSTITUTE(L23,", ",", ")," + ",", ")&amp;", "))),OR(NOT(ISNUMBER(SEARCH(", MA,",", "&amp;SUBSTITUTE(SUBSTITUTE(G23,", ",", ")," + ",", ")&amp;", "))),ISNUMBER(SEARCH(", MA,",", "&amp;SUBSTITUTE(SUBSTITUTE(L23,", ",", ")," + ",", ")&amp;", "))),OR(NOT(ISNUMBER(SEARCH(", NA,",", "&amp;SUBSTITUTE(SUBSTITUTE(G23,", ",", ")," + ",", ")&amp;", "))),ISNUMBER(SEARCH(", NA,",", "&amp;SUBSTITUTE(SUBSTITUTE(L23,", ",", ")," + ",", ")&amp;", "))),OR(NOT(ISNUMBER(SEARCH(", TA,",", "&amp;SUBSTITUTE(SUBSTITUTE(G23,", ",", ")," + ",", ")&amp;", "))),ISNUMBER(SEARCH(", TA,",", "&amp;SUBSTITUTE(SUBSTITUTE(L23,", ",", ")," + ",", ")&amp;", "))),OR(NOT(ISNUMBER(SEARCH(", O/U,",", "&amp;SUBSTITUTE(SUBSTITUTE(G23,", ",", ")," + ",", ")&amp;", "))),ISNUMBER(SEARCH(", O/U,",", "&amp;SUBSTITUTE(SUBSTITUTE(L23,", ",", ")," + ",", ")&amp;", "))),OR(NOT(ISNUMBER(SEARCH(", KA,",", "&amp;SUBSTITUTE(SUBSTITUTE(G23,", ",", ")," + ",", ")&amp;", "))),ISNUMBER(SEARCH(", KA,",", "&amp;SUBSTITUTE(SUBSTITUTE(L23,", ",", ")," + ",", ")&amp;", "))),OR(NOT(ISNUMBER(SEARCH(", GA,",", "&amp;SUBSTITUTE(SUBSTITUTE(G23,", ",", ")," + ",", ")&amp;", "))),ISNUMBER(SEARCH(", GA,",", "&amp;SUBSTITUTE(SUBSTITUTE(L23,", ",", ")," + ",", ")&amp;", "))),OR(NOT(ISNUMBER(SEARCH(", SA,",", "&amp;SUBSTITUTE(SUBSTITUTE(G23,", ",", ")," + ",", ")&amp;", "))),ISNUMBER(SEARCH(", SA,",", "&amp;SUBSTITUTE(SUBSTITUTE(L23,", ",", ")," + ",", ")&amp;", "))),OR(NOT(ISNUMBER(SEARCH(", WA,",", "&amp;SUBSTITUTE(SUBSTITUTE(G23,", ",", ")," + ",", ")&amp;", "))),ISNUMBER(SEARCH(", WA,",", "&amp;SUBSTITUTE(SUBSTITUTE(L23,", ",", ")," + ",", ")&amp;", "))),OR(NOT(ISNUMBER(SEARCH(", YA,",", "&amp;SUBSTITUTE(SUBSTITUTE(G23,", ",", ")," + ",", ")&amp;", "))),ISNUMBER(SEARCH(", YA,",", "&amp;SUBSTITUTE(SUBSTITUTE(L23,", ",", ")," + ",", ")&amp;", "))),OR(NOT(ISNUMBER(SEARCH(", DA/RA,",", "&amp;SUBSTITUTE(SUBSTITUTE(G23,", ",", ")," + ",", ")&amp;", "))),ISNUMBER(SEARCH(", DA/RA,",", "&amp;SUBSTITUTE(SUBSTITUTE(L23,", ",", ")," + ",", ")&amp;", "))),OR(NOT(ISNUMBER(SEARCH(", HA,",", "&amp;SUBSTITUTE(SUBSTITUTE(G23,", ",", ")," + ",", ")&amp;", "))),ISNUMBER(SEARCH(", HA,",", "&amp;SUBSTITUTE(SUBSTITUTE(L23,", ",", ")," + ",", ")&amp;", "))),OR(NOT(ISNUMBER(SEARCH(", LA,",", "&amp;SUBSTITUTE(SUBSTITUTE(G23,", ",", ")," + ",", ")&amp;", "))),ISNUMBER(SEARCH(", LA,",", "&amp;SUBSTITUTE(SUBSTITUTE(L23,", ",", ")," + ",", ")&amp;", "))),OR(NOT(ISNUMBER(SEARCH(", NGA,",", "&amp;SUBSTITUTE(SUBSTITUTE(G23,", ",", ")," + ",", ")&amp;", "))),ISNUMBER(SEARCH(", NGA,",", "&amp;SUBSTITUTE(SUBSTITUTE(L23,", ",", ")," + ",", ")&amp;", "))),OR(NOT(ISNUMBER(SEARCH(", PA,",", "&amp;SUBSTITUTE(SUBSTITUTE(G23,", ",", ")," + ",", ")&amp;", "))),ISNUMBER(SEARCH(", PA,",", "&amp;SUBSTITUTE(SUBSTITUTE(L23,", ",", ")," + ",", ")&amp;", "))),OR(NOT(ISNUMBER(SEARCH(", A,",", "&amp;SUBSTITUTE(SUBSTITUTE(L22,", ",", ")," + ",", ")&amp;", "))),ISNUMBER(SEARCH(", A,",", "&amp;SUBSTITUTE(SUBSTITUTE(L23,", ",", ")," + ",", ")&amp;", "))),OR(NOT(ISNUMBER(SEARCH(", E/I,",", "&amp;SUBSTITUTE(SUBSTITUTE(L22,", ",", ")," + ",", ")&amp;", "))),ISNUMBER(SEARCH(", E/I,",", "&amp;SUBSTITUTE(SUBSTITUTE(L23,", ",", ")," + ",", ")&amp;", "))),OR(NOT(ISNUMBER(SEARCH(", BA,",", "&amp;SUBSTITUTE(SUBSTITUTE(L22,", ",", ")," + ",", ")&amp;", "))),ISNUMBER(SEARCH(", BA,",", "&amp;SUBSTITUTE(SUBSTITUTE(L23,", ",", ")," + ",", ")&amp;", "))),OR(NOT(ISNUMBER(SEARCH(", MA,",", "&amp;SUBSTITUTE(SUBSTITUTE(L22,", ",", ")," + ",", ")&amp;", "))),ISNUMBER(SEARCH(", MA,",", "&amp;SUBSTITUTE(SUBSTITUTE(L23,", ",", ")," + ",", ")&amp;", "))),OR(NOT(ISNUMBER(SEARCH(", NA,",", "&amp;SUBSTITUTE(SUBSTITUTE(L22,", ",", ")," + ",", ")&amp;", "))),ISNUMBER(SEARCH(", NA,",", "&amp;SUBSTITUTE(SUBSTITUTE(L23,", ",", ")," + ",", ")&amp;", "))),OR(NOT(ISNUMBER(SEARCH(", TA,",", "&amp;SUBSTITUTE(SUBSTITUTE(L22,", ",", ")," + ",", ")&amp;", "))),ISNUMBER(SEARCH(", TA,",", "&amp;SUBSTITUTE(SUBSTITUTE(L23,", ",", ")," + ",", ")&amp;", "))),OR(NOT(ISNUMBER(SEARCH(", O/U,",", "&amp;SUBSTITUTE(SUBSTITUTE(L22,", ",", ")," + ",", ")&amp;", "))),ISNUMBER(SEARCH(", O/U,",", "&amp;SUBSTITUTE(SUBSTITUTE(L23,", ",", ")," + ",", ")&amp;", "))),OR(NOT(ISNUMBER(SEARCH(", KA,",", "&amp;SUBSTITUTE(SUBSTITUTE(L22,", ",", ")," + ",", ")&amp;", "))),ISNUMBER(SEARCH(", KA,",", "&amp;SUBSTITUTE(SUBSTITUTE(L23,", ",", ")," + ",", ")&amp;", "))),OR(NOT(ISNUMBER(SEARCH(", GA,",", "&amp;SUBSTITUTE(SUBSTITUTE(L22,", ",", ")," + ",", ")&amp;", "))),ISNUMBER(SEARCH(", GA,",", "&amp;SUBSTITUTE(SUBSTITUTE(L23,", ",", ")," + ",", ")&amp;", "))),OR(NOT(ISNUMBER(SEARCH(", SA,",", "&amp;SUBSTITUTE(SUBSTITUTE(L22,", ",", ")," + ",", ")&amp;", "))),ISNUMBER(SEARCH(", SA,",", "&amp;SUBSTITUTE(SUBSTITUTE(L23,", ",", ")," + ",", ")&amp;", "))),OR(NOT(ISNUMBER(SEARCH(", WA,",", "&amp;SUBSTITUTE(SUBSTITUTE(L22,", ",", ")," + ",", ")&amp;", "))),ISNUMBER(SEARCH(", WA,",", "&amp;SUBSTITUTE(SUBSTITUTE(L23,", ",", ")," + ",", ")&amp;", "))),OR(NOT(ISNUMBER(SEARCH(", YA,",", "&amp;SUBSTITUTE(SUBSTITUTE(L22,", ",", ")," + ",", ")&amp;", "))),ISNUMBER(SEARCH(", YA,",", "&amp;SUBSTITUTE(SUBSTITUTE(L23,", ",", ")," + ",", ")&amp;", "))),OR(NOT(ISNUMBER(SEARCH(", DA/RA,",", "&amp;SUBSTITUTE(SUBSTITUTE(L22,", ",", ")," + ",", ")&amp;", "))),ISNUMBER(SEARCH(", DA/RA,",", "&amp;SUBSTITUTE(SUBSTITUTE(L23,", ",", ")," + ",", ")&amp;", "))),OR(NOT(ISNUMBER(SEARCH(", HA,",", "&amp;SUBSTITUTE(SUBSTITUTE(L22,", ",", ")," + ",", ")&amp;", "))),ISNUMBER(SEARCH(", HA,",", "&amp;SUBSTITUTE(SUBSTITUTE(L23,", ",", ")," + ",", ")&amp;", "))),OR(NOT(ISNUMBER(SEARCH(", LA,",", "&amp;SUBSTITUTE(SUBSTITUTE(L22,", ",", ")," + ",", ")&amp;", "))),ISNUMBER(SEARCH(", LA,",", "&amp;SUBSTITUTE(SUBSTITUTE(L23,", ",", ")," + ",", ")&amp;", "))),OR(NOT(ISNUMBER(SEARCH(", NGA,",", "&amp;SUBSTITUTE(SUBSTITUTE(L22,", ",", ")," + ",", ")&amp;", "))),ISNUMBER(SEARCH(", NGA,",", "&amp;SUBSTITUTE(SUBSTITUTE(L23,", ",", ")," + ",", ")&amp;", "))),OR(NOT(ISNUMBER(SEARCH(", PA,",", "&amp;SUBSTITUTE(SUBSTITUTE(L22,", ",", ")," + ",", ")&amp;", "))),ISNUMBER(SEARCH(", PA,",", "&amp;SUBSTITUTE(SUBSTITUTE(L23,", ",", ")," + ",", ")&amp;", ")))),"PASS","FAIL")</x:f>
        <x:v>PASS</x:v>
      </x:c>
      <x:c r="N23" s="47" t="str">
        <x:v>Original</x:v>
      </x:c>
      <x:c r="O23" s="47" t="str"/>
      <x:c r="P23" s="47" t="str">
        <x:v>None</x:v>
      </x:c>
      <x:c r="Q23" s="47" t="str">
        <x:f>IF(OR(ISNUMBER(SEARCH("kudlit",LOWER(E23))),ISNUMBER(SEARCH("ᜒ",E23)),ISNUMBER(SEARCH("ᜓ",E23))),"Yes","No")</x:f>
        <x:v>No</x:v>
      </x:c>
      <x:c r="R23" s="47" t="str">
        <x:f>IF(OR(ISNUMBER(SEARCH("BE",E23)),ISNUMBER(SEARCH("BI",E23)),ISNUMBER(SEARCH("BO",E23)),ISNUMBER(SEARCH("BU",E23)),ISNUMBER(SEARCH("DE",E23)),ISNUMBER(SEARCH("DI",E23)),ISNUMBER(SEARCH("DO",E23)),ISNUMBER(SEARCH("DU",E23)),ISNUMBER(SEARCH("GE",E23)),ISNUMBER(SEARCH("GI",E23)),ISNUMBER(SEARCH("GO",E23)),ISNUMBER(SEARCH("GU",E23)),ISNUMBER(SEARCH("HE",E23)),ISNUMBER(SEARCH("HI",E23)),ISNUMBER(SEARCH("HO",E23)),ISNUMBER(SEARCH("HU",E23)),ISNUMBER(SEARCH("KE",E23)),ISNUMBER(SEARCH("KI",E23)),ISNUMBER(SEARCH("KO",E23)),ISNUMBER(SEARCH("KU",E23)),ISNUMBER(SEARCH("LE",E23)),ISNUMBER(SEARCH("LI",E23)),ISNUMBER(SEARCH("LO",E23)),ISNUMBER(SEARCH("LU",E23)),ISNUMBER(SEARCH("ME",E23)),ISNUMBER(SEARCH("MI",E23)),ISNUMBER(SEARCH("MO",E23)),ISNUMBER(SEARCH("MU",E23)),ISNUMBER(SEARCH("NE",E23)),ISNUMBER(SEARCH("NI",E23)),ISNUMBER(SEARCH("NO",E23)),ISNUMBER(SEARCH("NU",E23)),ISNUMBER(SEARCH("PE",E23)),ISNUMBER(SEARCH("PI",E23)),ISNUMBER(SEARCH("PO",E23)),ISNUMBER(SEARCH("PU",E23)),ISNUMBER(SEARCH("RE",E23)),ISNUMBER(SEARCH("RI",E23)),ISNUMBER(SEARCH("RO",E23)),ISNUMBER(SEARCH("RU",E23)),ISNUMBER(SEARCH("SE",E23)),ISNUMBER(SEARCH("SI",E23)),ISNUMBER(SEARCH("SO",E23)),ISNUMBER(SEARCH("SU",E23)),ISNUMBER(SEARCH("TE",E23)),ISNUMBER(SEARCH("TI",E23)),ISNUMBER(SEARCH("TO",E23)),ISNUMBER(SEARCH("TU",E23)),ISNUMBER(SEARCH("WE",E23)),ISNUMBER(SEARCH("WI",E23)),ISNUMBER(SEARCH("WO",E23)),ISNUMBER(SEARCH("WU",E23)),ISNUMBER(SEARCH("YE",E23)),ISNUMBER(SEARCH("YI",E23)),ISNUMBER(SEARCH("YO",E23)),ISNUMBER(SEARCH("YU",E23))),"Yes","No")</x:f>
        <x:v>No</x:v>
      </x:c>
      <x:c r="S23" s="47" t="str">
        <x:v>Era 2 - Ugnayan!D17</x:v>
      </x:c>
      <x:c r="T23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23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23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23," + "))=COUNTA(TEXTSPLIT(G23," + "))),"PASS","FAIL")</x:f>
        <x:v>PASS</x:v>
      </x:c>
      <x:c r="U23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23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"&amp;SUBSTITUTE(SUBSTITUTE(G23,", ",", ")," + ",", ")&amp;", "))),AND('Character Matrix'!$J$8&lt;&gt;"",'Character Matrix'!$Q$8&lt;&gt;"Missing",'Character Matrix'!$Q$8&lt;&gt;"Conflicting")),OR(NOT(ISNUMBER(SEARCH(", E/I,",", "&amp;SUBSTITUTE(SUBSTITUTE(G23,", ",", ")," + ",", ")&amp;", "))),AND('Character Matrix'!$J$9&lt;&gt;"",'Character Matrix'!$Q$9&lt;&gt;"Missing",'Character Matrix'!$Q$9&lt;&gt;"Conflicting")),OR(NOT(ISNUMBER(SEARCH(", BA,",", "&amp;SUBSTITUTE(SUBSTITUTE(G23,", ",", ")," + ",", ")&amp;", "))),AND('Character Matrix'!$J$10&lt;&gt;"",'Character Matrix'!$Q$10&lt;&gt;"Missing",'Character Matrix'!$Q$10&lt;&gt;"Conflicting")),OR(NOT(ISNUMBER(SEARCH(", MA,",", "&amp;SUBSTITUTE(SUBSTITUTE(G23,", ",", ")," + ",", ")&amp;", "))),AND('Character Matrix'!$J$11&lt;&gt;"",'Character Matrix'!$Q$11&lt;&gt;"Missing",'Character Matrix'!$Q$11&lt;&gt;"Conflicting")),OR(NOT(ISNUMBER(SEARCH(", NA,",", "&amp;SUBSTITUTE(SUBSTITUTE(G23,", ",", ")," + ",", ")&amp;", "))),AND('Character Matrix'!$J$12&lt;&gt;"",'Character Matrix'!$Q$12&lt;&gt;"Missing",'Character Matrix'!$Q$12&lt;&gt;"Conflicting")),OR(NOT(ISNUMBER(SEARCH(", TA,",", "&amp;SUBSTITUTE(SUBSTITUTE(G23,", ",", ")," + ",", ")&amp;", "))),AND('Character Matrix'!$J$13&lt;&gt;"",'Character Matrix'!$Q$13&lt;&gt;"Missing",'Character Matrix'!$Q$13&lt;&gt;"Conflicting")),OR(NOT(ISNUMBER(SEARCH(", O/U,",", "&amp;SUBSTITUTE(SUBSTITUTE(G23,", ",", ")," + ",", ")&amp;", "))),AND('Character Matrix'!$J$14&lt;&gt;"",'Character Matrix'!$Q$14&lt;&gt;"Missing",'Character Matrix'!$Q$14&lt;&gt;"Conflicting")),OR(NOT(ISNUMBER(SEARCH(", KA,",", "&amp;SUBSTITUTE(SUBSTITUTE(G23,", ",", ")," + ",", ")&amp;", "))),AND('Character Matrix'!$J$15&lt;&gt;"",'Character Matrix'!$Q$15&lt;&gt;"Missing",'Character Matrix'!$Q$15&lt;&gt;"Conflicting")),OR(NOT(ISNUMBER(SEARCH(", GA,",", "&amp;SUBSTITUTE(SUBSTITUTE(G23,", ",", ")," + ",", ")&amp;", "))),AND('Character Matrix'!$J$16&lt;&gt;"",'Character Matrix'!$Q$16&lt;&gt;"Missing",'Character Matrix'!$Q$16&lt;&gt;"Conflicting")),OR(NOT(ISNUMBER(SEARCH(", SA,",", "&amp;SUBSTITUTE(SUBSTITUTE(G23,", ",", ")," + ",", ")&amp;", "))),AND('Character Matrix'!$J$17&lt;&gt;"",'Character Matrix'!$Q$17&lt;&gt;"Missing",'Character Matrix'!$Q$17&lt;&gt;"Conflicting")),OR(NOT(ISNUMBER(SEARCH(", WA,",", "&amp;SUBSTITUTE(SUBSTITUTE(G23,", ",", ")," + ",", ")&amp;", "))),AND('Character Matrix'!$J$18&lt;&gt;"",'Character Matrix'!$Q$18&lt;&gt;"Missing",'Character Matrix'!$Q$18&lt;&gt;"Conflicting")),OR(NOT(ISNUMBER(SEARCH(", YA,",", "&amp;SUBSTITUTE(SUBSTITUTE(G23,", ",", ")," + ",", ")&amp;", "))),AND('Character Matrix'!$J$19&lt;&gt;"",'Character Matrix'!$Q$19&lt;&gt;"Missing",'Character Matrix'!$Q$19&lt;&gt;"Conflicting")),OR(NOT(ISNUMBER(SEARCH(", DA/RA,",", "&amp;SUBSTITUTE(SUBSTITUTE(G23,", ",", ")," + ",", ")&amp;", "))),AND('Character Matrix'!$J$20&lt;&gt;"",'Character Matrix'!$Q$20&lt;&gt;"Missing",'Character Matrix'!$Q$20&lt;&gt;"Conflicting")),OR(NOT(ISNUMBER(SEARCH(", HA,",", "&amp;SUBSTITUTE(SUBSTITUTE(G23,", ",", ")," + ",", ")&amp;", "))),AND('Character Matrix'!$J$21&lt;&gt;"",'Character Matrix'!$Q$21&lt;&gt;"Missing",'Character Matrix'!$Q$21&lt;&gt;"Conflicting")),OR(NOT(ISNUMBER(SEARCH(", LA,",", "&amp;SUBSTITUTE(SUBSTITUTE(G23,", ",", ")," + ",", ")&amp;", "))),AND('Character Matrix'!$J$22&lt;&gt;"",'Character Matrix'!$Q$22&lt;&gt;"Missing",'Character Matrix'!$Q$22&lt;&gt;"Conflicting")),OR(NOT(ISNUMBER(SEARCH(", NGA,",", "&amp;SUBSTITUTE(SUBSTITUTE(G23,", ",", ")," + ",", ")&amp;", "))),AND('Character Matrix'!$J$23&lt;&gt;"",'Character Matrix'!$Q$23&lt;&gt;"Missing",'Character Matrix'!$Q$23&lt;&gt;"Conflicting")),OR(NOT(ISNUMBER(SEARCH(", PA,",", "&amp;SUBSTITUTE(SUBSTITUTE(G23,", ",", ")," + ",", ")&amp;", "))),AND('Character Matrix'!$J$24&lt;&gt;"",'Character Matrix'!$Q$24&lt;&gt;"Missing",'Character Matrix'!$Q$24&lt;&gt;"Conflicting"))),"PASS","FAIL")</x:f>
        <x:v>PASS</x:v>
      </x:c>
      <x:c r="V23" s="48" t="str">
        <x:f>IF(AND(M23="PASS",Q23="No",R23="No",T23="PASS",U23="PASS",OR(K23="N/A",K23="PASS")),"PASS","FAIL")</x:f>
        <x:v>PASS</x:v>
      </x:c>
    </x:row>
    <x:row r="24" ht="52" customHeight="1">
      <x:c r="A24" s="46" t="n">
        <x:v>9</x:v>
      </x:c>
      <x:c r="B24" s="47" t="str">
        <x:v>Ugnayan</x:v>
      </x:c>
      <x:c r="C24" s="47" t="n">
        <x:v>4</x:v>
      </x:c>
      <x:c r="D24" s="47" t="n">
        <x:v>1</x:v>
      </x:c>
      <x:c r="E24" s="47" t="str">
        <x:v>OO</x:v>
      </x:c>
      <x:c r="F24" s="47" t="str">
        <x:v>O + O</x:v>
      </x:c>
      <x:c r="G24" s="47" t="str">
        <x:v>O/U + O/U</x:v>
      </x:c>
      <x:c r="H24" s="47" t="str">
        <x:v>O</x:v>
      </x:c>
      <x:c r="I24" s="47" t="str">
        <x:v>O/U</x:v>
      </x:c>
      <x:c r="J24" s="47" t="str"/>
      <x:c r="K24" s="47" t="str">
        <x:f>IF(D24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24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24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24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24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N/A</x:v>
      </x:c>
      <x:c r="L24" s="47" t="str">
        <x:v>A, E/I, BA, MA, NA, TA, O/U, KA, GA, SA, WA, YA</x:v>
      </x:c>
      <x:c r="M24" s="47" t="str">
        <x:f>IF(AND(LEN(L24)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24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24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24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"&amp;SUBSTITUTE(SUBSTITUTE(G24,", ",", ")," + ",", ")&amp;", "))),ISNUMBER(SEARCH(", A,",", "&amp;SUBSTITUTE(SUBSTITUTE(L24,", ",", ")," + ",", ")&amp;", "))),OR(NOT(ISNUMBER(SEARCH(", E/I,",", "&amp;SUBSTITUTE(SUBSTITUTE(G24,", ",", ")," + ",", ")&amp;", "))),ISNUMBER(SEARCH(", E/I,",", "&amp;SUBSTITUTE(SUBSTITUTE(L24,", ",", ")," + ",", ")&amp;", "))),OR(NOT(ISNUMBER(SEARCH(", BA,",", "&amp;SUBSTITUTE(SUBSTITUTE(G24,", ",", ")," + ",", ")&amp;", "))),ISNUMBER(SEARCH(", BA,",", "&amp;SUBSTITUTE(SUBSTITUTE(L24,", ",", ")," + ",", ")&amp;", "))),OR(NOT(ISNUMBER(SEARCH(", MA,",", "&amp;SUBSTITUTE(SUBSTITUTE(G24,", ",", ")," + ",", ")&amp;", "))),ISNUMBER(SEARCH(", MA,",", "&amp;SUBSTITUTE(SUBSTITUTE(L24,", ",", ")," + ",", ")&amp;", "))),OR(NOT(ISNUMBER(SEARCH(", NA,",", "&amp;SUBSTITUTE(SUBSTITUTE(G24,", ",", ")," + ",", ")&amp;", "))),ISNUMBER(SEARCH(", NA,",", "&amp;SUBSTITUTE(SUBSTITUTE(L24,", ",", ")," + ",", ")&amp;", "))),OR(NOT(ISNUMBER(SEARCH(", TA,",", "&amp;SUBSTITUTE(SUBSTITUTE(G24,", ",", ")," + ",", ")&amp;", "))),ISNUMBER(SEARCH(", TA,",", "&amp;SUBSTITUTE(SUBSTITUTE(L24,", ",", ")," + ",", ")&amp;", "))),OR(NOT(ISNUMBER(SEARCH(", O/U,",", "&amp;SUBSTITUTE(SUBSTITUTE(G24,", ",", ")," + ",", ")&amp;", "))),ISNUMBER(SEARCH(", O/U,",", "&amp;SUBSTITUTE(SUBSTITUTE(L24,", ",", ")," + ",", ")&amp;", "))),OR(NOT(ISNUMBER(SEARCH(", KA,",", "&amp;SUBSTITUTE(SUBSTITUTE(G24,", ",", ")," + ",", ")&amp;", "))),ISNUMBER(SEARCH(", KA,",", "&amp;SUBSTITUTE(SUBSTITUTE(L24,", ",", ")," + ",", ")&amp;", "))),OR(NOT(ISNUMBER(SEARCH(", GA,",", "&amp;SUBSTITUTE(SUBSTITUTE(G24,", ",", ")," + ",", ")&amp;", "))),ISNUMBER(SEARCH(", GA,",", "&amp;SUBSTITUTE(SUBSTITUTE(L24,", ",", ")," + ",", ")&amp;", "))),OR(NOT(ISNUMBER(SEARCH(", SA,",", "&amp;SUBSTITUTE(SUBSTITUTE(G24,", ",", ")," + ",", ")&amp;", "))),ISNUMBER(SEARCH(", SA,",", "&amp;SUBSTITUTE(SUBSTITUTE(L24,", ",", ")," + ",", ")&amp;", "))),OR(NOT(ISNUMBER(SEARCH(", WA,",", "&amp;SUBSTITUTE(SUBSTITUTE(G24,", ",", ")," + ",", ")&amp;", "))),ISNUMBER(SEARCH(", WA,",", "&amp;SUBSTITUTE(SUBSTITUTE(L24,", ",", ")," + ",", ")&amp;", "))),OR(NOT(ISNUMBER(SEARCH(", YA,",", "&amp;SUBSTITUTE(SUBSTITUTE(G24,", ",", ")," + ",", ")&amp;", "))),ISNUMBER(SEARCH(", YA,",", "&amp;SUBSTITUTE(SUBSTITUTE(L24,", ",", ")," + ",", ")&amp;", "))),OR(NOT(ISNUMBER(SEARCH(", DA/RA,",", "&amp;SUBSTITUTE(SUBSTITUTE(G24,", ",", ")," + ",", ")&amp;", "))),ISNUMBER(SEARCH(", DA/RA,",", "&amp;SUBSTITUTE(SUBSTITUTE(L24,", ",", ")," + ",", ")&amp;", "))),OR(NOT(ISNUMBER(SEARCH(", HA,",", "&amp;SUBSTITUTE(SUBSTITUTE(G24,", ",", ")," + ",", ")&amp;", "))),ISNUMBER(SEARCH(", HA,",", "&amp;SUBSTITUTE(SUBSTITUTE(L24,", ",", ")," + ",", ")&amp;", "))),OR(NOT(ISNUMBER(SEARCH(", LA,",", "&amp;SUBSTITUTE(SUBSTITUTE(G24,", ",", ")," + ",", ")&amp;", "))),ISNUMBER(SEARCH(", LA,",", "&amp;SUBSTITUTE(SUBSTITUTE(L24,", ",", ")," + ",", ")&amp;", "))),OR(NOT(ISNUMBER(SEARCH(", NGA,",", "&amp;SUBSTITUTE(SUBSTITUTE(G24,", ",", ")," + ",", ")&amp;", "))),ISNUMBER(SEARCH(", NGA,",", "&amp;SUBSTITUTE(SUBSTITUTE(L24,", ",", ")," + ",", ")&amp;", "))),OR(NOT(ISNUMBER(SEARCH(", PA,",", "&amp;SUBSTITUTE(SUBSTITUTE(G24,", ",", ")," + ",", ")&amp;", "))),ISNUMBER(SEARCH(", PA,",", "&amp;SUBSTITUTE(SUBSTITUTE(L24,", ",", ")," + ",", ")&amp;", "))),OR(NOT(ISNUMBER(SEARCH(", A,",", "&amp;SUBSTITUTE(SUBSTITUTE(L23,", ",", ")," + ",", ")&amp;", "))),ISNUMBER(SEARCH(", A,",", "&amp;SUBSTITUTE(SUBSTITUTE(L24,", ",", ")," + ",", ")&amp;", "))),OR(NOT(ISNUMBER(SEARCH(", E/I,",", "&amp;SUBSTITUTE(SUBSTITUTE(L23,", ",", ")," + ",", ")&amp;", "))),ISNUMBER(SEARCH(", E/I,",", "&amp;SUBSTITUTE(SUBSTITUTE(L24,", ",", ")," + ",", ")&amp;", "))),OR(NOT(ISNUMBER(SEARCH(", BA,",", "&amp;SUBSTITUTE(SUBSTITUTE(L23,", ",", ")," + ",", ")&amp;", "))),ISNUMBER(SEARCH(", BA,",", "&amp;SUBSTITUTE(SUBSTITUTE(L24,", ",", ")," + ",", ")&amp;", "))),OR(NOT(ISNUMBER(SEARCH(", MA,",", "&amp;SUBSTITUTE(SUBSTITUTE(L23,", ",", ")," + ",", ")&amp;", "))),ISNUMBER(SEARCH(", MA,",", "&amp;SUBSTITUTE(SUBSTITUTE(L24,", ",", ")," + ",", ")&amp;", "))),OR(NOT(ISNUMBER(SEARCH(", NA,",", "&amp;SUBSTITUTE(SUBSTITUTE(L23,", ",", ")," + ",", ")&amp;", "))),ISNUMBER(SEARCH(", NA,",", "&amp;SUBSTITUTE(SUBSTITUTE(L24,", ",", ")," + ",", ")&amp;", "))),OR(NOT(ISNUMBER(SEARCH(", TA,",", "&amp;SUBSTITUTE(SUBSTITUTE(L23,", ",", ")," + ",", ")&amp;", "))),ISNUMBER(SEARCH(", TA,",", "&amp;SUBSTITUTE(SUBSTITUTE(L24,", ",", ")," + ",", ")&amp;", "))),OR(NOT(ISNUMBER(SEARCH(", O/U,",", "&amp;SUBSTITUTE(SUBSTITUTE(L23,", ",", ")," + ",", ")&amp;", "))),ISNUMBER(SEARCH(", O/U,",", "&amp;SUBSTITUTE(SUBSTITUTE(L24,", ",", ")," + ",", ")&amp;", "))),OR(NOT(ISNUMBER(SEARCH(", KA,",", "&amp;SUBSTITUTE(SUBSTITUTE(L23,", ",", ")," + ",", ")&amp;", "))),ISNUMBER(SEARCH(", KA,",", "&amp;SUBSTITUTE(SUBSTITUTE(L24,", ",", ")," + ",", ")&amp;", "))),OR(NOT(ISNUMBER(SEARCH(", GA,",", "&amp;SUBSTITUTE(SUBSTITUTE(L23,", ",", ")," + ",", ")&amp;", "))),ISNUMBER(SEARCH(", GA,",", "&amp;SUBSTITUTE(SUBSTITUTE(L24,", ",", ")," + ",", ")&amp;", "))),OR(NOT(ISNUMBER(SEARCH(", SA,",", "&amp;SUBSTITUTE(SUBSTITUTE(L23,", ",", ")," + ",", ")&amp;", "))),ISNUMBER(SEARCH(", SA,",", "&amp;SUBSTITUTE(SUBSTITUTE(L24,", ",", ")," + ",", ")&amp;", "))),OR(NOT(ISNUMBER(SEARCH(", WA,",", "&amp;SUBSTITUTE(SUBSTITUTE(L23,", ",", ")," + ",", ")&amp;", "))),ISNUMBER(SEARCH(", WA,",", "&amp;SUBSTITUTE(SUBSTITUTE(L24,", ",", ")," + ",", ")&amp;", "))),OR(NOT(ISNUMBER(SEARCH(", YA,",", "&amp;SUBSTITUTE(SUBSTITUTE(L23,", ",", ")," + ",", ")&amp;", "))),ISNUMBER(SEARCH(", YA,",", "&amp;SUBSTITUTE(SUBSTITUTE(L24,", ",", ")," + ",", ")&amp;", "))),OR(NOT(ISNUMBER(SEARCH(", DA/RA,",", "&amp;SUBSTITUTE(SUBSTITUTE(L23,", ",", ")," + ",", ")&amp;", "))),ISNUMBER(SEARCH(", DA/RA,",", "&amp;SUBSTITUTE(SUBSTITUTE(L24,", ",", ")," + ",", ")&amp;", "))),OR(NOT(ISNUMBER(SEARCH(", HA,",", "&amp;SUBSTITUTE(SUBSTITUTE(L23,", ",", ")," + ",", ")&amp;", "))),ISNUMBER(SEARCH(", HA,",", "&amp;SUBSTITUTE(SUBSTITUTE(L24,", ",", ")," + ",", ")&amp;", "))),OR(NOT(ISNUMBER(SEARCH(", LA,",", "&amp;SUBSTITUTE(SUBSTITUTE(L23,", ",", ")," + ",", ")&amp;", "))),ISNUMBER(SEARCH(", LA,",", "&amp;SUBSTITUTE(SUBSTITUTE(L24,", ",", ")," + ",", ")&amp;", "))),OR(NOT(ISNUMBER(SEARCH(", NGA,",", "&amp;SUBSTITUTE(SUBSTITUTE(L23,", ",", ")," + ",", ")&amp;", "))),ISNUMBER(SEARCH(", NGA,",", "&amp;SUBSTITUTE(SUBSTITUTE(L24,", ",", ")," + ",", ")&amp;", "))),OR(NOT(ISNUMBER(SEARCH(", PA,",", "&amp;SUBSTITUTE(SUBSTITUTE(L23,", ",", ")," + ",", ")&amp;", "))),ISNUMBER(SEARCH(", PA,",", "&amp;SUBSTITUTE(SUBSTITUTE(L24,", ",", ")," + ",", ")&amp;", ")))),"PASS","FAIL")</x:f>
        <x:v>PASS</x:v>
      </x:c>
      <x:c r="N24" s="47" t="str">
        <x:v>Original</x:v>
      </x:c>
      <x:c r="O24" s="47" t="str"/>
      <x:c r="P24" s="47" t="str">
        <x:v>O/U ×2 (consecutive)</x:v>
      </x:c>
      <x:c r="Q24" s="47" t="str">
        <x:f>IF(OR(ISNUMBER(SEARCH("kudlit",LOWER(E24))),ISNUMBER(SEARCH("ᜒ",E24)),ISNUMBER(SEARCH("ᜓ",E24))),"Yes","No")</x:f>
        <x:v>No</x:v>
      </x:c>
      <x:c r="R24" s="47" t="str">
        <x:f>IF(OR(ISNUMBER(SEARCH("BE",E24)),ISNUMBER(SEARCH("BI",E24)),ISNUMBER(SEARCH("BO",E24)),ISNUMBER(SEARCH("BU",E24)),ISNUMBER(SEARCH("DE",E24)),ISNUMBER(SEARCH("DI",E24)),ISNUMBER(SEARCH("DO",E24)),ISNUMBER(SEARCH("DU",E24)),ISNUMBER(SEARCH("GE",E24)),ISNUMBER(SEARCH("GI",E24)),ISNUMBER(SEARCH("GO",E24)),ISNUMBER(SEARCH("GU",E24)),ISNUMBER(SEARCH("HE",E24)),ISNUMBER(SEARCH("HI",E24)),ISNUMBER(SEARCH("HO",E24)),ISNUMBER(SEARCH("HU",E24)),ISNUMBER(SEARCH("KE",E24)),ISNUMBER(SEARCH("KI",E24)),ISNUMBER(SEARCH("KO",E24)),ISNUMBER(SEARCH("KU",E24)),ISNUMBER(SEARCH("LE",E24)),ISNUMBER(SEARCH("LI",E24)),ISNUMBER(SEARCH("LO",E24)),ISNUMBER(SEARCH("LU",E24)),ISNUMBER(SEARCH("ME",E24)),ISNUMBER(SEARCH("MI",E24)),ISNUMBER(SEARCH("MO",E24)),ISNUMBER(SEARCH("MU",E24)),ISNUMBER(SEARCH("NE",E24)),ISNUMBER(SEARCH("NI",E24)),ISNUMBER(SEARCH("NO",E24)),ISNUMBER(SEARCH("NU",E24)),ISNUMBER(SEARCH("PE",E24)),ISNUMBER(SEARCH("PI",E24)),ISNUMBER(SEARCH("PO",E24)),ISNUMBER(SEARCH("PU",E24)),ISNUMBER(SEARCH("RE",E24)),ISNUMBER(SEARCH("RI",E24)),ISNUMBER(SEARCH("RO",E24)),ISNUMBER(SEARCH("RU",E24)),ISNUMBER(SEARCH("SE",E24)),ISNUMBER(SEARCH("SI",E24)),ISNUMBER(SEARCH("SO",E24)),ISNUMBER(SEARCH("SU",E24)),ISNUMBER(SEARCH("TE",E24)),ISNUMBER(SEARCH("TI",E24)),ISNUMBER(SEARCH("TO",E24)),ISNUMBER(SEARCH("TU",E24)),ISNUMBER(SEARCH("WE",E24)),ISNUMBER(SEARCH("WI",E24)),ISNUMBER(SEARCH("WO",E24)),ISNUMBER(SEARCH("WU",E24)),ISNUMBER(SEARCH("YE",E24)),ISNUMBER(SEARCH("YI",E24)),ISNUMBER(SEARCH("YO",E24)),ISNUMBER(SEARCH("YU",E24))),"Yes","No")</x:f>
        <x:v>No</x:v>
      </x:c>
      <x:c r="S24" s="47" t="str">
        <x:v>Era 2 - Ugnayan!D18</x:v>
      </x:c>
      <x:c r="T24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24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24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24," + "))=COUNTA(TEXTSPLIT(G24," + "))),"PASS","FAIL")</x:f>
        <x:v>PASS</x:v>
      </x:c>
      <x:c r="U24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24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"&amp;SUBSTITUTE(SUBSTITUTE(G24,", ",", ")," + ",", ")&amp;", "))),AND('Character Matrix'!$J$8&lt;&gt;"",'Character Matrix'!$Q$8&lt;&gt;"Missing",'Character Matrix'!$Q$8&lt;&gt;"Conflicting")),OR(NOT(ISNUMBER(SEARCH(", E/I,",", "&amp;SUBSTITUTE(SUBSTITUTE(G24,", ",", ")," + ",", ")&amp;", "))),AND('Character Matrix'!$J$9&lt;&gt;"",'Character Matrix'!$Q$9&lt;&gt;"Missing",'Character Matrix'!$Q$9&lt;&gt;"Conflicting")),OR(NOT(ISNUMBER(SEARCH(", BA,",", "&amp;SUBSTITUTE(SUBSTITUTE(G24,", ",", ")," + ",", ")&amp;", "))),AND('Character Matrix'!$J$10&lt;&gt;"",'Character Matrix'!$Q$10&lt;&gt;"Missing",'Character Matrix'!$Q$10&lt;&gt;"Conflicting")),OR(NOT(ISNUMBER(SEARCH(", MA,",", "&amp;SUBSTITUTE(SUBSTITUTE(G24,", ",", ")," + ",", ")&amp;", "))),AND('Character Matrix'!$J$11&lt;&gt;"",'Character Matrix'!$Q$11&lt;&gt;"Missing",'Character Matrix'!$Q$11&lt;&gt;"Conflicting")),OR(NOT(ISNUMBER(SEARCH(", NA,",", "&amp;SUBSTITUTE(SUBSTITUTE(G24,", ",", ")," + ",", ")&amp;", "))),AND('Character Matrix'!$J$12&lt;&gt;"",'Character Matrix'!$Q$12&lt;&gt;"Missing",'Character Matrix'!$Q$12&lt;&gt;"Conflicting")),OR(NOT(ISNUMBER(SEARCH(", TA,",", "&amp;SUBSTITUTE(SUBSTITUTE(G24,", ",", ")," + ",", ")&amp;", "))),AND('Character Matrix'!$J$13&lt;&gt;"",'Character Matrix'!$Q$13&lt;&gt;"Missing",'Character Matrix'!$Q$13&lt;&gt;"Conflicting")),OR(NOT(ISNUMBER(SEARCH(", O/U,",", "&amp;SUBSTITUTE(SUBSTITUTE(G24,", ",", ")," + ",", ")&amp;", "))),AND('Character Matrix'!$J$14&lt;&gt;"",'Character Matrix'!$Q$14&lt;&gt;"Missing",'Character Matrix'!$Q$14&lt;&gt;"Conflicting")),OR(NOT(ISNUMBER(SEARCH(", KA,",", "&amp;SUBSTITUTE(SUBSTITUTE(G24,", ",", ")," + ",", ")&amp;", "))),AND('Character Matrix'!$J$15&lt;&gt;"",'Character Matrix'!$Q$15&lt;&gt;"Missing",'Character Matrix'!$Q$15&lt;&gt;"Conflicting")),OR(NOT(ISNUMBER(SEARCH(", GA,",", "&amp;SUBSTITUTE(SUBSTITUTE(G24,", ",", ")," + ",", ")&amp;", "))),AND('Character Matrix'!$J$16&lt;&gt;"",'Character Matrix'!$Q$16&lt;&gt;"Missing",'Character Matrix'!$Q$16&lt;&gt;"Conflicting")),OR(NOT(ISNUMBER(SEARCH(", SA,",", "&amp;SUBSTITUTE(SUBSTITUTE(G24,", ",", ")," + ",", ")&amp;", "))),AND('Character Matrix'!$J$17&lt;&gt;"",'Character Matrix'!$Q$17&lt;&gt;"Missing",'Character Matrix'!$Q$17&lt;&gt;"Conflicting")),OR(NOT(ISNUMBER(SEARCH(", WA,",", "&amp;SUBSTITUTE(SUBSTITUTE(G24,", ",", ")," + ",", ")&amp;", "))),AND('Character Matrix'!$J$18&lt;&gt;"",'Character Matrix'!$Q$18&lt;&gt;"Missing",'Character Matrix'!$Q$18&lt;&gt;"Conflicting")),OR(NOT(ISNUMBER(SEARCH(", YA,",", "&amp;SUBSTITUTE(SUBSTITUTE(G24,", ",", ")," + ",", ")&amp;", "))),AND('Character Matrix'!$J$19&lt;&gt;"",'Character Matrix'!$Q$19&lt;&gt;"Missing",'Character Matrix'!$Q$19&lt;&gt;"Conflicting")),OR(NOT(ISNUMBER(SEARCH(", DA/RA,",", "&amp;SUBSTITUTE(SUBSTITUTE(G24,", ",", ")," + ",", ")&amp;", "))),AND('Character Matrix'!$J$20&lt;&gt;"",'Character Matrix'!$Q$20&lt;&gt;"Missing",'Character Matrix'!$Q$20&lt;&gt;"Conflicting")),OR(NOT(ISNUMBER(SEARCH(", HA,",", "&amp;SUBSTITUTE(SUBSTITUTE(G24,", ",", ")," + ",", ")&amp;", "))),AND('Character Matrix'!$J$21&lt;&gt;"",'Character Matrix'!$Q$21&lt;&gt;"Missing",'Character Matrix'!$Q$21&lt;&gt;"Conflicting")),OR(NOT(ISNUMBER(SEARCH(", LA,",", "&amp;SUBSTITUTE(SUBSTITUTE(G24,", ",", ")," + ",", ")&amp;", "))),AND('Character Matrix'!$J$22&lt;&gt;"",'Character Matrix'!$Q$22&lt;&gt;"Missing",'Character Matrix'!$Q$22&lt;&gt;"Conflicting")),OR(NOT(ISNUMBER(SEARCH(", NGA,",", "&amp;SUBSTITUTE(SUBSTITUTE(G24,", ",", ")," + ",", ")&amp;", "))),AND('Character Matrix'!$J$23&lt;&gt;"",'Character Matrix'!$Q$23&lt;&gt;"Missing",'Character Matrix'!$Q$23&lt;&gt;"Conflicting")),OR(NOT(ISNUMBER(SEARCH(", PA,",", "&amp;SUBSTITUTE(SUBSTITUTE(G24,", ",", ")," + ",", ")&amp;", "))),AND('Character Matrix'!$J$24&lt;&gt;"",'Character Matrix'!$Q$24&lt;&gt;"Missing",'Character Matrix'!$Q$24&lt;&gt;"Conflicting"))),"PASS","FAIL")</x:f>
        <x:v>PASS</x:v>
      </x:c>
      <x:c r="V24" s="48" t="str">
        <x:f>IF(AND(M24="PASS",Q24="No",R24="No",T24="PASS",U24="PASS",OR(K24="N/A",K24="PASS")),"PASS","FAIL")</x:f>
        <x:v>PASS</x:v>
      </x:c>
    </x:row>
    <x:row r="25" ht="52" customHeight="1">
      <x:c r="A25" s="46" t="n">
        <x:v>9</x:v>
      </x:c>
      <x:c r="B25" s="47" t="str">
        <x:v>Ugnayan</x:v>
      </x:c>
      <x:c r="C25" s="47" t="n">
        <x:v>4</x:v>
      </x:c>
      <x:c r="D25" s="47" t="n">
        <x:v>2</x:v>
      </x:c>
      <x:c r="E25" s="47" t="str">
        <x:v>UNA</x:v>
      </x:c>
      <x:c r="F25" s="47" t="str">
        <x:v>U + NA</x:v>
      </x:c>
      <x:c r="G25" s="47" t="str">
        <x:v>O/U + NA</x:v>
      </x:c>
      <x:c r="H25" s="47" t="str">
        <x:v>NA</x:v>
      </x:c>
      <x:c r="I25" s="47" t="str">
        <x:v>NA</x:v>
      </x:c>
      <x:c r="J25" s="47" t="str">
        <x:v>NA</x:v>
      </x:c>
      <x:c r="K25" s="47" t="str">
        <x:f>IF(D25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25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25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25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25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PASS</x:v>
      </x:c>
      <x:c r="L25" s="47" t="str">
        <x:v>A, E/I, BA, MA, NA, TA, O/U, KA, GA, SA, WA, YA</x:v>
      </x:c>
      <x:c r="M25" s="47" t="str">
        <x:f>IF(AND(LEN(L25)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25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25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25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"&amp;SUBSTITUTE(SUBSTITUTE(G25,", ",", ")," + ",", ")&amp;", "))),ISNUMBER(SEARCH(", A,",", "&amp;SUBSTITUTE(SUBSTITUTE(L25,", ",", ")," + ",", ")&amp;", "))),OR(NOT(ISNUMBER(SEARCH(", E/I,",", "&amp;SUBSTITUTE(SUBSTITUTE(G25,", ",", ")," + ",", ")&amp;", "))),ISNUMBER(SEARCH(", E/I,",", "&amp;SUBSTITUTE(SUBSTITUTE(L25,", ",", ")," + ",", ")&amp;", "))),OR(NOT(ISNUMBER(SEARCH(", BA,",", "&amp;SUBSTITUTE(SUBSTITUTE(G25,", ",", ")," + ",", ")&amp;", "))),ISNUMBER(SEARCH(", BA,",", "&amp;SUBSTITUTE(SUBSTITUTE(L25,", ",", ")," + ",", ")&amp;", "))),OR(NOT(ISNUMBER(SEARCH(", MA,",", "&amp;SUBSTITUTE(SUBSTITUTE(G25,", ",", ")," + ",", ")&amp;", "))),ISNUMBER(SEARCH(", MA,",", "&amp;SUBSTITUTE(SUBSTITUTE(L25,", ",", ")," + ",", ")&amp;", "))),OR(NOT(ISNUMBER(SEARCH(", NA,",", "&amp;SUBSTITUTE(SUBSTITUTE(G25,", ",", ")," + ",", ")&amp;", "))),ISNUMBER(SEARCH(", NA,",", "&amp;SUBSTITUTE(SUBSTITUTE(L25,", ",", ")," + ",", ")&amp;", "))),OR(NOT(ISNUMBER(SEARCH(", TA,",", "&amp;SUBSTITUTE(SUBSTITUTE(G25,", ",", ")," + ",", ")&amp;", "))),ISNUMBER(SEARCH(", TA,",", "&amp;SUBSTITUTE(SUBSTITUTE(L25,", ",", ")," + ",", ")&amp;", "))),OR(NOT(ISNUMBER(SEARCH(", O/U,",", "&amp;SUBSTITUTE(SUBSTITUTE(G25,", ",", ")," + ",", ")&amp;", "))),ISNUMBER(SEARCH(", O/U,",", "&amp;SUBSTITUTE(SUBSTITUTE(L25,", ",", ")," + ",", ")&amp;", "))),OR(NOT(ISNUMBER(SEARCH(", KA,",", "&amp;SUBSTITUTE(SUBSTITUTE(G25,", ",", ")," + ",", ")&amp;", "))),ISNUMBER(SEARCH(", KA,",", "&amp;SUBSTITUTE(SUBSTITUTE(L25,", ",", ")," + ",", ")&amp;", "))),OR(NOT(ISNUMBER(SEARCH(", GA,",", "&amp;SUBSTITUTE(SUBSTITUTE(G25,", ",", ")," + ",", ")&amp;", "))),ISNUMBER(SEARCH(", GA,",", "&amp;SUBSTITUTE(SUBSTITUTE(L25,", ",", ")," + ",", ")&amp;", "))),OR(NOT(ISNUMBER(SEARCH(", SA,",", "&amp;SUBSTITUTE(SUBSTITUTE(G25,", ",", ")," + ",", ")&amp;", "))),ISNUMBER(SEARCH(", SA,",", "&amp;SUBSTITUTE(SUBSTITUTE(L25,", ",", ")," + ",", ")&amp;", "))),OR(NOT(ISNUMBER(SEARCH(", WA,",", "&amp;SUBSTITUTE(SUBSTITUTE(G25,", ",", ")," + ",", ")&amp;", "))),ISNUMBER(SEARCH(", WA,",", "&amp;SUBSTITUTE(SUBSTITUTE(L25,", ",", ")," + ",", ")&amp;", "))),OR(NOT(ISNUMBER(SEARCH(", YA,",", "&amp;SUBSTITUTE(SUBSTITUTE(G25,", ",", ")," + ",", ")&amp;", "))),ISNUMBER(SEARCH(", YA,",", "&amp;SUBSTITUTE(SUBSTITUTE(L25,", ",", ")," + ",", ")&amp;", "))),OR(NOT(ISNUMBER(SEARCH(", DA/RA,",", "&amp;SUBSTITUTE(SUBSTITUTE(G25,", ",", ")," + ",", ")&amp;", "))),ISNUMBER(SEARCH(", DA/RA,",", "&amp;SUBSTITUTE(SUBSTITUTE(L25,", ",", ")," + ",", ")&amp;", "))),OR(NOT(ISNUMBER(SEARCH(", HA,",", "&amp;SUBSTITUTE(SUBSTITUTE(G25,", ",", ")," + ",", ")&amp;", "))),ISNUMBER(SEARCH(", HA,",", "&amp;SUBSTITUTE(SUBSTITUTE(L25,", ",", ")," + ",", ")&amp;", "))),OR(NOT(ISNUMBER(SEARCH(", LA,",", "&amp;SUBSTITUTE(SUBSTITUTE(G25,", ",", ")," + ",", ")&amp;", "))),ISNUMBER(SEARCH(", LA,",", "&amp;SUBSTITUTE(SUBSTITUTE(L25,", ",", ")," + ",", ")&amp;", "))),OR(NOT(ISNUMBER(SEARCH(", NGA,",", "&amp;SUBSTITUTE(SUBSTITUTE(G25,", ",", ")," + ",", ")&amp;", "))),ISNUMBER(SEARCH(", NGA,",", "&amp;SUBSTITUTE(SUBSTITUTE(L25,", ",", ")," + ",", ")&amp;", "))),OR(NOT(ISNUMBER(SEARCH(", PA,",", "&amp;SUBSTITUTE(SUBSTITUTE(G25,", ",", ")," + ",", ")&amp;", "))),ISNUMBER(SEARCH(", PA,",", "&amp;SUBSTITUTE(SUBSTITUTE(L25,", ",", ")," + ",", ")&amp;", "))),OR(NOT(ISNUMBER(SEARCH(", A,",", "&amp;SUBSTITUTE(SUBSTITUTE(L24,", ",", ")," + ",", ")&amp;", "))),ISNUMBER(SEARCH(", A,",", "&amp;SUBSTITUTE(SUBSTITUTE(L25,", ",", ")," + ",", ")&amp;", "))),OR(NOT(ISNUMBER(SEARCH(", E/I,",", "&amp;SUBSTITUTE(SUBSTITUTE(L24,", ",", ")," + ",", ")&amp;", "))),ISNUMBER(SEARCH(", E/I,",", "&amp;SUBSTITUTE(SUBSTITUTE(L25,", ",", ")," + ",", ")&amp;", "))),OR(NOT(ISNUMBER(SEARCH(", BA,",", "&amp;SUBSTITUTE(SUBSTITUTE(L24,", ",", ")," + ",", ")&amp;", "))),ISNUMBER(SEARCH(", BA,",", "&amp;SUBSTITUTE(SUBSTITUTE(L25,", ",", ")," + ",", ")&amp;", "))),OR(NOT(ISNUMBER(SEARCH(", MA,",", "&amp;SUBSTITUTE(SUBSTITUTE(L24,", ",", ")," + ",", ")&amp;", "))),ISNUMBER(SEARCH(", MA,",", "&amp;SUBSTITUTE(SUBSTITUTE(L25,", ",", ")," + ",", ")&amp;", "))),OR(NOT(ISNUMBER(SEARCH(", NA,",", "&amp;SUBSTITUTE(SUBSTITUTE(L24,", ",", ")," + ",", ")&amp;", "))),ISNUMBER(SEARCH(", NA,",", "&amp;SUBSTITUTE(SUBSTITUTE(L25,", ",", ")," + ",", ")&amp;", "))),OR(NOT(ISNUMBER(SEARCH(", TA,",", "&amp;SUBSTITUTE(SUBSTITUTE(L24,", ",", ")," + ",", ")&amp;", "))),ISNUMBER(SEARCH(", TA,",", "&amp;SUBSTITUTE(SUBSTITUTE(L25,", ",", ")," + ",", ")&amp;", "))),OR(NOT(ISNUMBER(SEARCH(", O/U,",", "&amp;SUBSTITUTE(SUBSTITUTE(L24,", ",", ")," + ",", ")&amp;", "))),ISNUMBER(SEARCH(", O/U,",", "&amp;SUBSTITUTE(SUBSTITUTE(L25,", ",", ")," + ",", ")&amp;", "))),OR(NOT(ISNUMBER(SEARCH(", KA,",", "&amp;SUBSTITUTE(SUBSTITUTE(L24,", ",", ")," + ",", ")&amp;", "))),ISNUMBER(SEARCH(", KA,",", "&amp;SUBSTITUTE(SUBSTITUTE(L25,", ",", ")," + ",", ")&amp;", "))),OR(NOT(ISNUMBER(SEARCH(", GA,",", "&amp;SUBSTITUTE(SUBSTITUTE(L24,", ",", ")," + ",", ")&amp;", "))),ISNUMBER(SEARCH(", GA,",", "&amp;SUBSTITUTE(SUBSTITUTE(L25,", ",", ")," + ",", ")&amp;", "))),OR(NOT(ISNUMBER(SEARCH(", SA,",", "&amp;SUBSTITUTE(SUBSTITUTE(L24,", ",", ")," + ",", ")&amp;", "))),ISNUMBER(SEARCH(", SA,",", "&amp;SUBSTITUTE(SUBSTITUTE(L25,", ",", ")," + ",", ")&amp;", "))),OR(NOT(ISNUMBER(SEARCH(", WA,",", "&amp;SUBSTITUTE(SUBSTITUTE(L24,", ",", ")," + ",", ")&amp;", "))),ISNUMBER(SEARCH(", WA,",", "&amp;SUBSTITUTE(SUBSTITUTE(L25,", ",", ")," + ",", ")&amp;", "))),OR(NOT(ISNUMBER(SEARCH(", YA,",", "&amp;SUBSTITUTE(SUBSTITUTE(L24,", ",", ")," + ",", ")&amp;", "))),ISNUMBER(SEARCH(", YA,",", "&amp;SUBSTITUTE(SUBSTITUTE(L25,", ",", ")," + ",", ")&amp;", "))),OR(NOT(ISNUMBER(SEARCH(", DA/RA,",", "&amp;SUBSTITUTE(SUBSTITUTE(L24,", ",", ")," + ",", ")&amp;", "))),ISNUMBER(SEARCH(", DA/RA,",", "&amp;SUBSTITUTE(SUBSTITUTE(L25,", ",", ")," + ",", ")&amp;", "))),OR(NOT(ISNUMBER(SEARCH(", HA,",", "&amp;SUBSTITUTE(SUBSTITUTE(L24,", ",", ")," + ",", ")&amp;", "))),ISNUMBER(SEARCH(", HA,",", "&amp;SUBSTITUTE(SUBSTITUTE(L25,", ",", ")," + ",", ")&amp;", "))),OR(NOT(ISNUMBER(SEARCH(", LA,",", "&amp;SUBSTITUTE(SUBSTITUTE(L24,", ",", ")," + ",", ")&amp;", "))),ISNUMBER(SEARCH(", LA,",", "&amp;SUBSTITUTE(SUBSTITUTE(L25,", ",", ")," + ",", ")&amp;", "))),OR(NOT(ISNUMBER(SEARCH(", NGA,",", "&amp;SUBSTITUTE(SUBSTITUTE(L24,", ",", ")," + ",", ")&amp;", "))),ISNUMBER(SEARCH(", NGA,",", "&amp;SUBSTITUTE(SUBSTITUTE(L25,", ",", ")," + ",", ")&amp;", "))),OR(NOT(ISNUMBER(SEARCH(", PA,",", "&amp;SUBSTITUTE(SUBSTITUTE(L24,", ",", ")," + ",", ")&amp;", "))),ISNUMBER(SEARCH(", PA,",", "&amp;SUBSTITUTE(SUBSTITUTE(L25,", ",", ")," + ",", ")&amp;", ")))),"PASS","FAIL")</x:f>
        <x:v>PASS</x:v>
      </x:c>
      <x:c r="N25" s="47" t="str">
        <x:v>Original</x:v>
      </x:c>
      <x:c r="O25" s="47" t="str"/>
      <x:c r="P25" s="47" t="str">
        <x:v>None</x:v>
      </x:c>
      <x:c r="Q25" s="47" t="str">
        <x:f>IF(OR(ISNUMBER(SEARCH("kudlit",LOWER(E25))),ISNUMBER(SEARCH("ᜒ",E25)),ISNUMBER(SEARCH("ᜓ",E25))),"Yes","No")</x:f>
        <x:v>No</x:v>
      </x:c>
      <x:c r="R25" s="47" t="str">
        <x:f>IF(OR(ISNUMBER(SEARCH("BE",E25)),ISNUMBER(SEARCH("BI",E25)),ISNUMBER(SEARCH("BO",E25)),ISNUMBER(SEARCH("BU",E25)),ISNUMBER(SEARCH("DE",E25)),ISNUMBER(SEARCH("DI",E25)),ISNUMBER(SEARCH("DO",E25)),ISNUMBER(SEARCH("DU",E25)),ISNUMBER(SEARCH("GE",E25)),ISNUMBER(SEARCH("GI",E25)),ISNUMBER(SEARCH("GO",E25)),ISNUMBER(SEARCH("GU",E25)),ISNUMBER(SEARCH("HE",E25)),ISNUMBER(SEARCH("HI",E25)),ISNUMBER(SEARCH("HO",E25)),ISNUMBER(SEARCH("HU",E25)),ISNUMBER(SEARCH("KE",E25)),ISNUMBER(SEARCH("KI",E25)),ISNUMBER(SEARCH("KO",E25)),ISNUMBER(SEARCH("KU",E25)),ISNUMBER(SEARCH("LE",E25)),ISNUMBER(SEARCH("LI",E25)),ISNUMBER(SEARCH("LO",E25)),ISNUMBER(SEARCH("LU",E25)),ISNUMBER(SEARCH("ME",E25)),ISNUMBER(SEARCH("MI",E25)),ISNUMBER(SEARCH("MO",E25)),ISNUMBER(SEARCH("MU",E25)),ISNUMBER(SEARCH("NE",E25)),ISNUMBER(SEARCH("NI",E25)),ISNUMBER(SEARCH("NO",E25)),ISNUMBER(SEARCH("NU",E25)),ISNUMBER(SEARCH("PE",E25)),ISNUMBER(SEARCH("PI",E25)),ISNUMBER(SEARCH("PO",E25)),ISNUMBER(SEARCH("PU",E25)),ISNUMBER(SEARCH("RE",E25)),ISNUMBER(SEARCH("RI",E25)),ISNUMBER(SEARCH("RO",E25)),ISNUMBER(SEARCH("RU",E25)),ISNUMBER(SEARCH("SE",E25)),ISNUMBER(SEARCH("SI",E25)),ISNUMBER(SEARCH("SO",E25)),ISNUMBER(SEARCH("SU",E25)),ISNUMBER(SEARCH("TE",E25)),ISNUMBER(SEARCH("TI",E25)),ISNUMBER(SEARCH("TO",E25)),ISNUMBER(SEARCH("TU",E25)),ISNUMBER(SEARCH("WE",E25)),ISNUMBER(SEARCH("WI",E25)),ISNUMBER(SEARCH("WO",E25)),ISNUMBER(SEARCH("WU",E25)),ISNUMBER(SEARCH("YE",E25)),ISNUMBER(SEARCH("YI",E25)),ISNUMBER(SEARCH("YO",E25)),ISNUMBER(SEARCH("YU",E25))),"Yes","No")</x:f>
        <x:v>No</x:v>
      </x:c>
      <x:c r="S25" s="47" t="str">
        <x:v>Era 2 - Ugnayan!D18</x:v>
      </x:c>
      <x:c r="T25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25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25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25," + "))=COUNTA(TEXTSPLIT(G25," + "))),"PASS","FAIL")</x:f>
        <x:v>PASS</x:v>
      </x:c>
      <x:c r="U25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25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"&amp;SUBSTITUTE(SUBSTITUTE(G25,", ",", ")," + ",", ")&amp;", "))),AND('Character Matrix'!$J$8&lt;&gt;"",'Character Matrix'!$Q$8&lt;&gt;"Missing",'Character Matrix'!$Q$8&lt;&gt;"Conflicting")),OR(NOT(ISNUMBER(SEARCH(", E/I,",", "&amp;SUBSTITUTE(SUBSTITUTE(G25,", ",", ")," + ",", ")&amp;", "))),AND('Character Matrix'!$J$9&lt;&gt;"",'Character Matrix'!$Q$9&lt;&gt;"Missing",'Character Matrix'!$Q$9&lt;&gt;"Conflicting")),OR(NOT(ISNUMBER(SEARCH(", BA,",", "&amp;SUBSTITUTE(SUBSTITUTE(G25,", ",", ")," + ",", ")&amp;", "))),AND('Character Matrix'!$J$10&lt;&gt;"",'Character Matrix'!$Q$10&lt;&gt;"Missing",'Character Matrix'!$Q$10&lt;&gt;"Conflicting")),OR(NOT(ISNUMBER(SEARCH(", MA,",", "&amp;SUBSTITUTE(SUBSTITUTE(G25,", ",", ")," + ",", ")&amp;", "))),AND('Character Matrix'!$J$11&lt;&gt;"",'Character Matrix'!$Q$11&lt;&gt;"Missing",'Character Matrix'!$Q$11&lt;&gt;"Conflicting")),OR(NOT(ISNUMBER(SEARCH(", NA,",", "&amp;SUBSTITUTE(SUBSTITUTE(G25,", ",", ")," + ",", ")&amp;", "))),AND('Character Matrix'!$J$12&lt;&gt;"",'Character Matrix'!$Q$12&lt;&gt;"Missing",'Character Matrix'!$Q$12&lt;&gt;"Conflicting")),OR(NOT(ISNUMBER(SEARCH(", TA,",", "&amp;SUBSTITUTE(SUBSTITUTE(G25,", ",", ")," + ",", ")&amp;", "))),AND('Character Matrix'!$J$13&lt;&gt;"",'Character Matrix'!$Q$13&lt;&gt;"Missing",'Character Matrix'!$Q$13&lt;&gt;"Conflicting")),OR(NOT(ISNUMBER(SEARCH(", O/U,",", "&amp;SUBSTITUTE(SUBSTITUTE(G25,", ",", ")," + ",", ")&amp;", "))),AND('Character Matrix'!$J$14&lt;&gt;"",'Character Matrix'!$Q$14&lt;&gt;"Missing",'Character Matrix'!$Q$14&lt;&gt;"Conflicting")),OR(NOT(ISNUMBER(SEARCH(", KA,",", "&amp;SUBSTITUTE(SUBSTITUTE(G25,", ",", ")," + ",", ")&amp;", "))),AND('Character Matrix'!$J$15&lt;&gt;"",'Character Matrix'!$Q$15&lt;&gt;"Missing",'Character Matrix'!$Q$15&lt;&gt;"Conflicting")),OR(NOT(ISNUMBER(SEARCH(", GA,",", "&amp;SUBSTITUTE(SUBSTITUTE(G25,", ",", ")," + ",", ")&amp;", "))),AND('Character Matrix'!$J$16&lt;&gt;"",'Character Matrix'!$Q$16&lt;&gt;"Missing",'Character Matrix'!$Q$16&lt;&gt;"Conflicting")),OR(NOT(ISNUMBER(SEARCH(", SA,",", "&amp;SUBSTITUTE(SUBSTITUTE(G25,", ",", ")," + ",", ")&amp;", "))),AND('Character Matrix'!$J$17&lt;&gt;"",'Character Matrix'!$Q$17&lt;&gt;"Missing",'Character Matrix'!$Q$17&lt;&gt;"Conflicting")),OR(NOT(ISNUMBER(SEARCH(", WA,",", "&amp;SUBSTITUTE(SUBSTITUTE(G25,", ",", ")," + ",", ")&amp;", "))),AND('Character Matrix'!$J$18&lt;&gt;"",'Character Matrix'!$Q$18&lt;&gt;"Missing",'Character Matrix'!$Q$18&lt;&gt;"Conflicting")),OR(NOT(ISNUMBER(SEARCH(", YA,",", "&amp;SUBSTITUTE(SUBSTITUTE(G25,", ",", ")," + ",", ")&amp;", "))),AND('Character Matrix'!$J$19&lt;&gt;"",'Character Matrix'!$Q$19&lt;&gt;"Missing",'Character Matrix'!$Q$19&lt;&gt;"Conflicting")),OR(NOT(ISNUMBER(SEARCH(", DA/RA,",", "&amp;SUBSTITUTE(SUBSTITUTE(G25,", ",", ")," + ",", ")&amp;", "))),AND('Character Matrix'!$J$20&lt;&gt;"",'Character Matrix'!$Q$20&lt;&gt;"Missing",'Character Matrix'!$Q$20&lt;&gt;"Conflicting")),OR(NOT(ISNUMBER(SEARCH(", HA,",", "&amp;SUBSTITUTE(SUBSTITUTE(G25,", ",", ")," + ",", ")&amp;", "))),AND('Character Matrix'!$J$21&lt;&gt;"",'Character Matrix'!$Q$21&lt;&gt;"Missing",'Character Matrix'!$Q$21&lt;&gt;"Conflicting")),OR(NOT(ISNUMBER(SEARCH(", LA,",", "&amp;SUBSTITUTE(SUBSTITUTE(G25,", ",", ")," + ",", ")&amp;", "))),AND('Character Matrix'!$J$22&lt;&gt;"",'Character Matrix'!$Q$22&lt;&gt;"Missing",'Character Matrix'!$Q$22&lt;&gt;"Conflicting")),OR(NOT(ISNUMBER(SEARCH(", NGA,",", "&amp;SUBSTITUTE(SUBSTITUTE(G25,", ",", ")," + ",", ")&amp;", "))),AND('Character Matrix'!$J$23&lt;&gt;"",'Character Matrix'!$Q$23&lt;&gt;"Missing",'Character Matrix'!$Q$23&lt;&gt;"Conflicting")),OR(NOT(ISNUMBER(SEARCH(", PA,",", "&amp;SUBSTITUTE(SUBSTITUTE(G25,", ",", ")," + ",", ")&amp;", "))),AND('Character Matrix'!$J$24&lt;&gt;"",'Character Matrix'!$Q$24&lt;&gt;"Missing",'Character Matrix'!$Q$24&lt;&gt;"Conflicting"))),"PASS","FAIL")</x:f>
        <x:v>PASS</x:v>
      </x:c>
      <x:c r="V25" s="48" t="str">
        <x:f>IF(AND(M25="PASS",Q25="No",R25="No",T25="PASS",U25="PASS",OR(K25="N/A",K25="PASS")),"PASS","FAIL")</x:f>
        <x:v>PASS</x:v>
      </x:c>
    </x:row>
    <x:row r="26" ht="52" customHeight="1">
      <x:c r="A26" s="46" t="n">
        <x:v>10</x:v>
      </x:c>
      <x:c r="B26" s="47" t="str">
        <x:v>Ugnayan</x:v>
      </x:c>
      <x:c r="C26" s="47" t="n">
        <x:v>5</x:v>
      </x:c>
      <x:c r="D26" s="47" t="n">
        <x:v>1</x:v>
      </x:c>
      <x:c r="E26" s="47" t="str">
        <x:v>SANA</x:v>
      </x:c>
      <x:c r="F26" s="47" t="str">
        <x:v>SA + NA</x:v>
      </x:c>
      <x:c r="G26" s="47" t="str">
        <x:v>SA + NA</x:v>
      </x:c>
      <x:c r="H26" s="47" t="str">
        <x:v>NA</x:v>
      </x:c>
      <x:c r="I26" s="47" t="str">
        <x:v>NA</x:v>
      </x:c>
      <x:c r="J26" s="47" t="str"/>
      <x:c r="K26" s="47" t="str">
        <x:f>IF(D26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26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26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26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26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N/A</x:v>
      </x:c>
      <x:c r="L26" s="47" t="str">
        <x:v>A, E/I, BA, MA, NA, TA, O/U, KA, GA, SA, WA, YA</x:v>
      </x:c>
      <x:c r="M26" s="47" t="str">
        <x:f>IF(AND(LEN(L26)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26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26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26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"&amp;SUBSTITUTE(SUBSTITUTE(G26,", ",", ")," + ",", ")&amp;", "))),ISNUMBER(SEARCH(", A,",", "&amp;SUBSTITUTE(SUBSTITUTE(L26,", ",", ")," + ",", ")&amp;", "))),OR(NOT(ISNUMBER(SEARCH(", E/I,",", "&amp;SUBSTITUTE(SUBSTITUTE(G26,", ",", ")," + ",", ")&amp;", "))),ISNUMBER(SEARCH(", E/I,",", "&amp;SUBSTITUTE(SUBSTITUTE(L26,", ",", ")," + ",", ")&amp;", "))),OR(NOT(ISNUMBER(SEARCH(", BA,",", "&amp;SUBSTITUTE(SUBSTITUTE(G26,", ",", ")," + ",", ")&amp;", "))),ISNUMBER(SEARCH(", BA,",", "&amp;SUBSTITUTE(SUBSTITUTE(L26,", ",", ")," + ",", ")&amp;", "))),OR(NOT(ISNUMBER(SEARCH(", MA,",", "&amp;SUBSTITUTE(SUBSTITUTE(G26,", ",", ")," + ",", ")&amp;", "))),ISNUMBER(SEARCH(", MA,",", "&amp;SUBSTITUTE(SUBSTITUTE(L26,", ",", ")," + ",", ")&amp;", "))),OR(NOT(ISNUMBER(SEARCH(", NA,",", "&amp;SUBSTITUTE(SUBSTITUTE(G26,", ",", ")," + ",", ")&amp;", "))),ISNUMBER(SEARCH(", NA,",", "&amp;SUBSTITUTE(SUBSTITUTE(L26,", ",", ")," + ",", ")&amp;", "))),OR(NOT(ISNUMBER(SEARCH(", TA,",", "&amp;SUBSTITUTE(SUBSTITUTE(G26,", ",", ")," + ",", ")&amp;", "))),ISNUMBER(SEARCH(", TA,",", "&amp;SUBSTITUTE(SUBSTITUTE(L26,", ",", ")," + ",", ")&amp;", "))),OR(NOT(ISNUMBER(SEARCH(", O/U,",", "&amp;SUBSTITUTE(SUBSTITUTE(G26,", ",", ")," + ",", ")&amp;", "))),ISNUMBER(SEARCH(", O/U,",", "&amp;SUBSTITUTE(SUBSTITUTE(L26,", ",", ")," + ",", ")&amp;", "))),OR(NOT(ISNUMBER(SEARCH(", KA,",", "&amp;SUBSTITUTE(SUBSTITUTE(G26,", ",", ")," + ",", ")&amp;", "))),ISNUMBER(SEARCH(", KA,",", "&amp;SUBSTITUTE(SUBSTITUTE(L26,", ",", ")," + ",", ")&amp;", "))),OR(NOT(ISNUMBER(SEARCH(", GA,",", "&amp;SUBSTITUTE(SUBSTITUTE(G26,", ",", ")," + ",", ")&amp;", "))),ISNUMBER(SEARCH(", GA,",", "&amp;SUBSTITUTE(SUBSTITUTE(L26,", ",", ")," + ",", ")&amp;", "))),OR(NOT(ISNUMBER(SEARCH(", SA,",", "&amp;SUBSTITUTE(SUBSTITUTE(G26,", ",", ")," + ",", ")&amp;", "))),ISNUMBER(SEARCH(", SA,",", "&amp;SUBSTITUTE(SUBSTITUTE(L26,", ",", ")," + ",", ")&amp;", "))),OR(NOT(ISNUMBER(SEARCH(", WA,",", "&amp;SUBSTITUTE(SUBSTITUTE(G26,", ",", ")," + ",", ")&amp;", "))),ISNUMBER(SEARCH(", WA,",", "&amp;SUBSTITUTE(SUBSTITUTE(L26,", ",", ")," + ",", ")&amp;", "))),OR(NOT(ISNUMBER(SEARCH(", YA,",", "&amp;SUBSTITUTE(SUBSTITUTE(G26,", ",", ")," + ",", ")&amp;", "))),ISNUMBER(SEARCH(", YA,",", "&amp;SUBSTITUTE(SUBSTITUTE(L26,", ",", ")," + ",", ")&amp;", "))),OR(NOT(ISNUMBER(SEARCH(", DA/RA,",", "&amp;SUBSTITUTE(SUBSTITUTE(G26,", ",", ")," + ",", ")&amp;", "))),ISNUMBER(SEARCH(", DA/RA,",", "&amp;SUBSTITUTE(SUBSTITUTE(L26,", ",", ")," + ",", ")&amp;", "))),OR(NOT(ISNUMBER(SEARCH(", HA,",", "&amp;SUBSTITUTE(SUBSTITUTE(G26,", ",", ")," + ",", ")&amp;", "))),ISNUMBER(SEARCH(", HA,",", "&amp;SUBSTITUTE(SUBSTITUTE(L26,", ",", ")," + ",", ")&amp;", "))),OR(NOT(ISNUMBER(SEARCH(", LA,",", "&amp;SUBSTITUTE(SUBSTITUTE(G26,", ",", ")," + ",", ")&amp;", "))),ISNUMBER(SEARCH(", LA,",", "&amp;SUBSTITUTE(SUBSTITUTE(L26,", ",", ")," + ",", ")&amp;", "))),OR(NOT(ISNUMBER(SEARCH(", NGA,",", "&amp;SUBSTITUTE(SUBSTITUTE(G26,", ",", ")," + ",", ")&amp;", "))),ISNUMBER(SEARCH(", NGA,",", "&amp;SUBSTITUTE(SUBSTITUTE(L26,", ",", ")," + ",", ")&amp;", "))),OR(NOT(ISNUMBER(SEARCH(", PA,",", "&amp;SUBSTITUTE(SUBSTITUTE(G26,", ",", ")," + ",", ")&amp;", "))),ISNUMBER(SEARCH(", PA,",", "&amp;SUBSTITUTE(SUBSTITUTE(L26,", ",", ")," + ",", ")&amp;", "))),OR(NOT(ISNUMBER(SEARCH(", A,",", "&amp;SUBSTITUTE(SUBSTITUTE(L25,", ",", ")," + ",", ")&amp;", "))),ISNUMBER(SEARCH(", A,",", "&amp;SUBSTITUTE(SUBSTITUTE(L26,", ",", ")," + ",", ")&amp;", "))),OR(NOT(ISNUMBER(SEARCH(", E/I,",", "&amp;SUBSTITUTE(SUBSTITUTE(L25,", ",", ")," + ",", ")&amp;", "))),ISNUMBER(SEARCH(", E/I,",", "&amp;SUBSTITUTE(SUBSTITUTE(L26,", ",", ")," + ",", ")&amp;", "))),OR(NOT(ISNUMBER(SEARCH(", BA,",", "&amp;SUBSTITUTE(SUBSTITUTE(L25,", ",", ")," + ",", ")&amp;", "))),ISNUMBER(SEARCH(", BA,",", "&amp;SUBSTITUTE(SUBSTITUTE(L26,", ",", ")," + ",", ")&amp;", "))),OR(NOT(ISNUMBER(SEARCH(", MA,",", "&amp;SUBSTITUTE(SUBSTITUTE(L25,", ",", ")," + ",", ")&amp;", "))),ISNUMBER(SEARCH(", MA,",", "&amp;SUBSTITUTE(SUBSTITUTE(L26,", ",", ")," + ",", ")&amp;", "))),OR(NOT(ISNUMBER(SEARCH(", NA,",", "&amp;SUBSTITUTE(SUBSTITUTE(L25,", ",", ")," + ",", ")&amp;", "))),ISNUMBER(SEARCH(", NA,",", "&amp;SUBSTITUTE(SUBSTITUTE(L26,", ",", ")," + ",", ")&amp;", "))),OR(NOT(ISNUMBER(SEARCH(", TA,",", "&amp;SUBSTITUTE(SUBSTITUTE(L25,", ",", ")," + ",", ")&amp;", "))),ISNUMBER(SEARCH(", TA,",", "&amp;SUBSTITUTE(SUBSTITUTE(L26,", ",", ")," + ",", ")&amp;", "))),OR(NOT(ISNUMBER(SEARCH(", O/U,",", "&amp;SUBSTITUTE(SUBSTITUTE(L25,", ",", ")," + ",", ")&amp;", "))),ISNUMBER(SEARCH(", O/U,",", "&amp;SUBSTITUTE(SUBSTITUTE(L26,", ",", ")," + ",", ")&amp;", "))),OR(NOT(ISNUMBER(SEARCH(", KA,",", "&amp;SUBSTITUTE(SUBSTITUTE(L25,", ",", ")," + ",", ")&amp;", "))),ISNUMBER(SEARCH(", KA,",", "&amp;SUBSTITUTE(SUBSTITUTE(L26,", ",", ")," + ",", ")&amp;", "))),OR(NOT(ISNUMBER(SEARCH(", GA,",", "&amp;SUBSTITUTE(SUBSTITUTE(L25,", ",", ")," + ",", ")&amp;", "))),ISNUMBER(SEARCH(", GA,",", "&amp;SUBSTITUTE(SUBSTITUTE(L26,", ",", ")," + ",", ")&amp;", "))),OR(NOT(ISNUMBER(SEARCH(", SA,",", "&amp;SUBSTITUTE(SUBSTITUTE(L25,", ",", ")," + ",", ")&amp;", "))),ISNUMBER(SEARCH(", SA,",", "&amp;SUBSTITUTE(SUBSTITUTE(L26,", ",", ")," + ",", ")&amp;", "))),OR(NOT(ISNUMBER(SEARCH(", WA,",", "&amp;SUBSTITUTE(SUBSTITUTE(L25,", ",", ")," + ",", ")&amp;", "))),ISNUMBER(SEARCH(", WA,",", "&amp;SUBSTITUTE(SUBSTITUTE(L26,", ",", ")," + ",", ")&amp;", "))),OR(NOT(ISNUMBER(SEARCH(", YA,",", "&amp;SUBSTITUTE(SUBSTITUTE(L25,", ",", ")," + ",", ")&amp;", "))),ISNUMBER(SEARCH(", YA,",", "&amp;SUBSTITUTE(SUBSTITUTE(L26,", ",", ")," + ",", ")&amp;", "))),OR(NOT(ISNUMBER(SEARCH(", DA/RA,",", "&amp;SUBSTITUTE(SUBSTITUTE(L25,", ",", ")," + ",", ")&amp;", "))),ISNUMBER(SEARCH(", DA/RA,",", "&amp;SUBSTITUTE(SUBSTITUTE(L26,", ",", ")," + ",", ")&amp;", "))),OR(NOT(ISNUMBER(SEARCH(", HA,",", "&amp;SUBSTITUTE(SUBSTITUTE(L25,", ",", ")," + ",", ")&amp;", "))),ISNUMBER(SEARCH(", HA,",", "&amp;SUBSTITUTE(SUBSTITUTE(L26,", ",", ")," + ",", ")&amp;", "))),OR(NOT(ISNUMBER(SEARCH(", LA,",", "&amp;SUBSTITUTE(SUBSTITUTE(L25,", ",", ")," + ",", ")&amp;", "))),ISNUMBER(SEARCH(", LA,",", "&amp;SUBSTITUTE(SUBSTITUTE(L26,", ",", ")," + ",", ")&amp;", "))),OR(NOT(ISNUMBER(SEARCH(", NGA,",", "&amp;SUBSTITUTE(SUBSTITUTE(L25,", ",", ")," + ",", ")&amp;", "))),ISNUMBER(SEARCH(", NGA,",", "&amp;SUBSTITUTE(SUBSTITUTE(L26,", ",", ")," + ",", ")&amp;", "))),OR(NOT(ISNUMBER(SEARCH(", PA,",", "&amp;SUBSTITUTE(SUBSTITUTE(L25,", ",", ")," + ",", ")&amp;", "))),ISNUMBER(SEARCH(", PA,",", "&amp;SUBSTITUTE(SUBSTITUTE(L26,", ",", ")," + ",", ")&amp;", ")))),"PASS","FAIL")</x:f>
        <x:v>PASS</x:v>
      </x:c>
      <x:c r="N26" s="47" t="str">
        <x:v>Original</x:v>
      </x:c>
      <x:c r="O26" s="47" t="str"/>
      <x:c r="P26" s="47" t="str">
        <x:v>None</x:v>
      </x:c>
      <x:c r="Q26" s="47" t="str">
        <x:f>IF(OR(ISNUMBER(SEARCH("kudlit",LOWER(E26))),ISNUMBER(SEARCH("ᜒ",E26)),ISNUMBER(SEARCH("ᜓ",E26))),"Yes","No")</x:f>
        <x:v>No</x:v>
      </x:c>
      <x:c r="R26" s="47" t="str">
        <x:f>IF(OR(ISNUMBER(SEARCH("BE",E26)),ISNUMBER(SEARCH("BI",E26)),ISNUMBER(SEARCH("BO",E26)),ISNUMBER(SEARCH("BU",E26)),ISNUMBER(SEARCH("DE",E26)),ISNUMBER(SEARCH("DI",E26)),ISNUMBER(SEARCH("DO",E26)),ISNUMBER(SEARCH("DU",E26)),ISNUMBER(SEARCH("GE",E26)),ISNUMBER(SEARCH("GI",E26)),ISNUMBER(SEARCH("GO",E26)),ISNUMBER(SEARCH("GU",E26)),ISNUMBER(SEARCH("HE",E26)),ISNUMBER(SEARCH("HI",E26)),ISNUMBER(SEARCH("HO",E26)),ISNUMBER(SEARCH("HU",E26)),ISNUMBER(SEARCH("KE",E26)),ISNUMBER(SEARCH("KI",E26)),ISNUMBER(SEARCH("KO",E26)),ISNUMBER(SEARCH("KU",E26)),ISNUMBER(SEARCH("LE",E26)),ISNUMBER(SEARCH("LI",E26)),ISNUMBER(SEARCH("LO",E26)),ISNUMBER(SEARCH("LU",E26)),ISNUMBER(SEARCH("ME",E26)),ISNUMBER(SEARCH("MI",E26)),ISNUMBER(SEARCH("MO",E26)),ISNUMBER(SEARCH("MU",E26)),ISNUMBER(SEARCH("NE",E26)),ISNUMBER(SEARCH("NI",E26)),ISNUMBER(SEARCH("NO",E26)),ISNUMBER(SEARCH("NU",E26)),ISNUMBER(SEARCH("PE",E26)),ISNUMBER(SEARCH("PI",E26)),ISNUMBER(SEARCH("PO",E26)),ISNUMBER(SEARCH("PU",E26)),ISNUMBER(SEARCH("RE",E26)),ISNUMBER(SEARCH("RI",E26)),ISNUMBER(SEARCH("RO",E26)),ISNUMBER(SEARCH("RU",E26)),ISNUMBER(SEARCH("SE",E26)),ISNUMBER(SEARCH("SI",E26)),ISNUMBER(SEARCH("SO",E26)),ISNUMBER(SEARCH("SU",E26)),ISNUMBER(SEARCH("TE",E26)),ISNUMBER(SEARCH("TI",E26)),ISNUMBER(SEARCH("TO",E26)),ISNUMBER(SEARCH("TU",E26)),ISNUMBER(SEARCH("WE",E26)),ISNUMBER(SEARCH("WI",E26)),ISNUMBER(SEARCH("WO",E26)),ISNUMBER(SEARCH("WU",E26)),ISNUMBER(SEARCH("YE",E26)),ISNUMBER(SEARCH("YI",E26)),ISNUMBER(SEARCH("YO",E26)),ISNUMBER(SEARCH("YU",E26))),"Yes","No")</x:f>
        <x:v>No</x:v>
      </x:c>
      <x:c r="S26" s="47" t="str">
        <x:v>Era 2 - Ugnayan!D19 (two final focus words)</x:v>
      </x:c>
      <x:c r="T26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26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26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26," + "))=COUNTA(TEXTSPLIT(G26," + "))),"PASS","FAIL")</x:f>
        <x:v>PASS</x:v>
      </x:c>
      <x:c r="U26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26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"&amp;SUBSTITUTE(SUBSTITUTE(G26,", ",", ")," + ",", ")&amp;", "))),AND('Character Matrix'!$J$8&lt;&gt;"",'Character Matrix'!$Q$8&lt;&gt;"Missing",'Character Matrix'!$Q$8&lt;&gt;"Conflicting")),OR(NOT(ISNUMBER(SEARCH(", E/I,",", "&amp;SUBSTITUTE(SUBSTITUTE(G26,", ",", ")," + ",", ")&amp;", "))),AND('Character Matrix'!$J$9&lt;&gt;"",'Character Matrix'!$Q$9&lt;&gt;"Missing",'Character Matrix'!$Q$9&lt;&gt;"Conflicting")),OR(NOT(ISNUMBER(SEARCH(", BA,",", "&amp;SUBSTITUTE(SUBSTITUTE(G26,", ",", ")," + ",", ")&amp;", "))),AND('Character Matrix'!$J$10&lt;&gt;"",'Character Matrix'!$Q$10&lt;&gt;"Missing",'Character Matrix'!$Q$10&lt;&gt;"Conflicting")),OR(NOT(ISNUMBER(SEARCH(", MA,",", "&amp;SUBSTITUTE(SUBSTITUTE(G26,", ",", ")," + ",", ")&amp;", "))),AND('Character Matrix'!$J$11&lt;&gt;"",'Character Matrix'!$Q$11&lt;&gt;"Missing",'Character Matrix'!$Q$11&lt;&gt;"Conflicting")),OR(NOT(ISNUMBER(SEARCH(", NA,",", "&amp;SUBSTITUTE(SUBSTITUTE(G26,", ",", ")," + ",", ")&amp;", "))),AND('Character Matrix'!$J$12&lt;&gt;"",'Character Matrix'!$Q$12&lt;&gt;"Missing",'Character Matrix'!$Q$12&lt;&gt;"Conflicting")),OR(NOT(ISNUMBER(SEARCH(", TA,",", "&amp;SUBSTITUTE(SUBSTITUTE(G26,", ",", ")," + ",", ")&amp;", "))),AND('Character Matrix'!$J$13&lt;&gt;"",'Character Matrix'!$Q$13&lt;&gt;"Missing",'Character Matrix'!$Q$13&lt;&gt;"Conflicting")),OR(NOT(ISNUMBER(SEARCH(", O/U,",", "&amp;SUBSTITUTE(SUBSTITUTE(G26,", ",", ")," + ",", ")&amp;", "))),AND('Character Matrix'!$J$14&lt;&gt;"",'Character Matrix'!$Q$14&lt;&gt;"Missing",'Character Matrix'!$Q$14&lt;&gt;"Conflicting")),OR(NOT(ISNUMBER(SEARCH(", KA,",", "&amp;SUBSTITUTE(SUBSTITUTE(G26,", ",", ")," + ",", ")&amp;", "))),AND('Character Matrix'!$J$15&lt;&gt;"",'Character Matrix'!$Q$15&lt;&gt;"Missing",'Character Matrix'!$Q$15&lt;&gt;"Conflicting")),OR(NOT(ISNUMBER(SEARCH(", GA,",", "&amp;SUBSTITUTE(SUBSTITUTE(G26,", ",", ")," + ",", ")&amp;", "))),AND('Character Matrix'!$J$16&lt;&gt;"",'Character Matrix'!$Q$16&lt;&gt;"Missing",'Character Matrix'!$Q$16&lt;&gt;"Conflicting")),OR(NOT(ISNUMBER(SEARCH(", SA,",", "&amp;SUBSTITUTE(SUBSTITUTE(G26,", ",", ")," + ",", ")&amp;", "))),AND('Character Matrix'!$J$17&lt;&gt;"",'Character Matrix'!$Q$17&lt;&gt;"Missing",'Character Matrix'!$Q$17&lt;&gt;"Conflicting")),OR(NOT(ISNUMBER(SEARCH(", WA,",", "&amp;SUBSTITUTE(SUBSTITUTE(G26,", ",", ")," + ",", ")&amp;", "))),AND('Character Matrix'!$J$18&lt;&gt;"",'Character Matrix'!$Q$18&lt;&gt;"Missing",'Character Matrix'!$Q$18&lt;&gt;"Conflicting")),OR(NOT(ISNUMBER(SEARCH(", YA,",", "&amp;SUBSTITUTE(SUBSTITUTE(G26,", ",", ")," + ",", ")&amp;", "))),AND('Character Matrix'!$J$19&lt;&gt;"",'Character Matrix'!$Q$19&lt;&gt;"Missing",'Character Matrix'!$Q$19&lt;&gt;"Conflicting")),OR(NOT(ISNUMBER(SEARCH(", DA/RA,",", "&amp;SUBSTITUTE(SUBSTITUTE(G26,", ",", ")," + ",", ")&amp;", "))),AND('Character Matrix'!$J$20&lt;&gt;"",'Character Matrix'!$Q$20&lt;&gt;"Missing",'Character Matrix'!$Q$20&lt;&gt;"Conflicting")),OR(NOT(ISNUMBER(SEARCH(", HA,",", "&amp;SUBSTITUTE(SUBSTITUTE(G26,", ",", ")," + ",", ")&amp;", "))),AND('Character Matrix'!$J$21&lt;&gt;"",'Character Matrix'!$Q$21&lt;&gt;"Missing",'Character Matrix'!$Q$21&lt;&gt;"Conflicting")),OR(NOT(ISNUMBER(SEARCH(", LA,",", "&amp;SUBSTITUTE(SUBSTITUTE(G26,", ",", ")," + ",", ")&amp;", "))),AND('Character Matrix'!$J$22&lt;&gt;"",'Character Matrix'!$Q$22&lt;&gt;"Missing",'Character Matrix'!$Q$22&lt;&gt;"Conflicting")),OR(NOT(ISNUMBER(SEARCH(", NGA,",", "&amp;SUBSTITUTE(SUBSTITUTE(G26,", ",", ")," + ",", ")&amp;", "))),AND('Character Matrix'!$J$23&lt;&gt;"",'Character Matrix'!$Q$23&lt;&gt;"Missing",'Character Matrix'!$Q$23&lt;&gt;"Conflicting")),OR(NOT(ISNUMBER(SEARCH(", PA,",", "&amp;SUBSTITUTE(SUBSTITUTE(G26,", ",", ")," + ",", ")&amp;", "))),AND('Character Matrix'!$J$24&lt;&gt;"",'Character Matrix'!$Q$24&lt;&gt;"Missing",'Character Matrix'!$Q$24&lt;&gt;"Conflicting"))),"PASS","FAIL")</x:f>
        <x:v>PASS</x:v>
      </x:c>
      <x:c r="V26" s="48" t="str">
        <x:f>IF(AND(M26="PASS",Q26="No",R26="No",T26="PASS",U26="PASS",OR(K26="N/A",K26="PASS")),"PASS","FAIL")</x:f>
        <x:v>PASS</x:v>
      </x:c>
    </x:row>
    <x:row r="27" ht="52" customHeight="1">
      <x:c r="A27" s="46" t="n">
        <x:v>10</x:v>
      </x:c>
      <x:c r="B27" s="47" t="str">
        <x:v>Ugnayan</x:v>
      </x:c>
      <x:c r="C27" s="47" t="n">
        <x:v>5</x:v>
      </x:c>
      <x:c r="D27" s="47" t="n">
        <x:v>2</x:v>
      </x:c>
      <x:c r="E27" s="47" t="str">
        <x:v>SAYA</x:v>
      </x:c>
      <x:c r="F27" s="47" t="str">
        <x:v>SA + YA</x:v>
      </x:c>
      <x:c r="G27" s="47" t="str">
        <x:v>SA + YA</x:v>
      </x:c>
      <x:c r="H27" s="47" t="str">
        <x:v>YA</x:v>
      </x:c>
      <x:c r="I27" s="47" t="str">
        <x:v>YA</x:v>
      </x:c>
      <x:c r="J27" s="47" t="str">
        <x:v>YA</x:v>
      </x:c>
      <x:c r="K27" s="47" t="str">
        <x:f>IF(D27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27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27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27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27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PASS</x:v>
      </x:c>
      <x:c r="L27" s="47" t="str">
        <x:v>A, E/I, BA, MA, NA, TA, O/U, KA, GA, SA, WA, YA</x:v>
      </x:c>
      <x:c r="M27" s="47" t="str">
        <x:f>IF(AND(LEN(L27)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27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27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27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"&amp;SUBSTITUTE(SUBSTITUTE(G27,", ",", ")," + ",", ")&amp;", "))),ISNUMBER(SEARCH(", A,",", "&amp;SUBSTITUTE(SUBSTITUTE(L27,", ",", ")," + ",", ")&amp;", "))),OR(NOT(ISNUMBER(SEARCH(", E/I,",", "&amp;SUBSTITUTE(SUBSTITUTE(G27,", ",", ")," + ",", ")&amp;", "))),ISNUMBER(SEARCH(", E/I,",", "&amp;SUBSTITUTE(SUBSTITUTE(L27,", ",", ")," + ",", ")&amp;", "))),OR(NOT(ISNUMBER(SEARCH(", BA,",", "&amp;SUBSTITUTE(SUBSTITUTE(G27,", ",", ")," + ",", ")&amp;", "))),ISNUMBER(SEARCH(", BA,",", "&amp;SUBSTITUTE(SUBSTITUTE(L27,", ",", ")," + ",", ")&amp;", "))),OR(NOT(ISNUMBER(SEARCH(", MA,",", "&amp;SUBSTITUTE(SUBSTITUTE(G27,", ",", ")," + ",", ")&amp;", "))),ISNUMBER(SEARCH(", MA,",", "&amp;SUBSTITUTE(SUBSTITUTE(L27,", ",", ")," + ",", ")&amp;", "))),OR(NOT(ISNUMBER(SEARCH(", NA,",", "&amp;SUBSTITUTE(SUBSTITUTE(G27,", ",", ")," + ",", ")&amp;", "))),ISNUMBER(SEARCH(", NA,",", "&amp;SUBSTITUTE(SUBSTITUTE(L27,", ",", ")," + ",", ")&amp;", "))),OR(NOT(ISNUMBER(SEARCH(", TA,",", "&amp;SUBSTITUTE(SUBSTITUTE(G27,", ",", ")," + ",", ")&amp;", "))),ISNUMBER(SEARCH(", TA,",", "&amp;SUBSTITUTE(SUBSTITUTE(L27,", ",", ")," + ",", ")&amp;", "))),OR(NOT(ISNUMBER(SEARCH(", O/U,",", "&amp;SUBSTITUTE(SUBSTITUTE(G27,", ",", ")," + ",", ")&amp;", "))),ISNUMBER(SEARCH(", O/U,",", "&amp;SUBSTITUTE(SUBSTITUTE(L27,", ",", ")," + ",", ")&amp;", "))),OR(NOT(ISNUMBER(SEARCH(", KA,",", "&amp;SUBSTITUTE(SUBSTITUTE(G27,", ",", ")," + ",", ")&amp;", "))),ISNUMBER(SEARCH(", KA,",", "&amp;SUBSTITUTE(SUBSTITUTE(L27,", ",", ")," + ",", ")&amp;", "))),OR(NOT(ISNUMBER(SEARCH(", GA,",", "&amp;SUBSTITUTE(SUBSTITUTE(G27,", ",", ")," + ",", ")&amp;", "))),ISNUMBER(SEARCH(", GA,",", "&amp;SUBSTITUTE(SUBSTITUTE(L27,", ",", ")," + ",", ")&amp;", "))),OR(NOT(ISNUMBER(SEARCH(", SA,",", "&amp;SUBSTITUTE(SUBSTITUTE(G27,", ",", ")," + ",", ")&amp;", "))),ISNUMBER(SEARCH(", SA,",", "&amp;SUBSTITUTE(SUBSTITUTE(L27,", ",", ")," + ",", ")&amp;", "))),OR(NOT(ISNUMBER(SEARCH(", WA,",", "&amp;SUBSTITUTE(SUBSTITUTE(G27,", ",", ")," + ",", ")&amp;", "))),ISNUMBER(SEARCH(", WA,",", "&amp;SUBSTITUTE(SUBSTITUTE(L27,", ",", ")," + ",", ")&amp;", "))),OR(NOT(ISNUMBER(SEARCH(", YA,",", "&amp;SUBSTITUTE(SUBSTITUTE(G27,", ",", ")," + ",", ")&amp;", "))),ISNUMBER(SEARCH(", YA,",", "&amp;SUBSTITUTE(SUBSTITUTE(L27,", ",", ")," + ",", ")&amp;", "))),OR(NOT(ISNUMBER(SEARCH(", DA/RA,",", "&amp;SUBSTITUTE(SUBSTITUTE(G27,", ",", ")," + ",", ")&amp;", "))),ISNUMBER(SEARCH(", DA/RA,",", "&amp;SUBSTITUTE(SUBSTITUTE(L27,", ",", ")," + ",", ")&amp;", "))),OR(NOT(ISNUMBER(SEARCH(", HA,",", "&amp;SUBSTITUTE(SUBSTITUTE(G27,", ",", ")," + ",", ")&amp;", "))),ISNUMBER(SEARCH(", HA,",", "&amp;SUBSTITUTE(SUBSTITUTE(L27,", ",", ")," + ",", ")&amp;", "))),OR(NOT(ISNUMBER(SEARCH(", LA,",", "&amp;SUBSTITUTE(SUBSTITUTE(G27,", ",", ")," + ",", ")&amp;", "))),ISNUMBER(SEARCH(", LA,",", "&amp;SUBSTITUTE(SUBSTITUTE(L27,", ",", ")," + ",", ")&amp;", "))),OR(NOT(ISNUMBER(SEARCH(", NGA,",", "&amp;SUBSTITUTE(SUBSTITUTE(G27,", ",", ")," + ",", ")&amp;", "))),ISNUMBER(SEARCH(", NGA,",", "&amp;SUBSTITUTE(SUBSTITUTE(L27,", ",", ")," + ",", ")&amp;", "))),OR(NOT(ISNUMBER(SEARCH(", PA,",", "&amp;SUBSTITUTE(SUBSTITUTE(G27,", ",", ")," + ",", ")&amp;", "))),ISNUMBER(SEARCH(", PA,",", "&amp;SUBSTITUTE(SUBSTITUTE(L27,", ",", ")," + ",", ")&amp;", "))),OR(NOT(ISNUMBER(SEARCH(", A,",", "&amp;SUBSTITUTE(SUBSTITUTE(L26,", ",", ")," + ",", ")&amp;", "))),ISNUMBER(SEARCH(", A,",", "&amp;SUBSTITUTE(SUBSTITUTE(L27,", ",", ")," + ",", ")&amp;", "))),OR(NOT(ISNUMBER(SEARCH(", E/I,",", "&amp;SUBSTITUTE(SUBSTITUTE(L26,", ",", ")," + ",", ")&amp;", "))),ISNUMBER(SEARCH(", E/I,",", "&amp;SUBSTITUTE(SUBSTITUTE(L27,", ",", ")," + ",", ")&amp;", "))),OR(NOT(ISNUMBER(SEARCH(", BA,",", "&amp;SUBSTITUTE(SUBSTITUTE(L26,", ",", ")," + ",", ")&amp;", "))),ISNUMBER(SEARCH(", BA,",", "&amp;SUBSTITUTE(SUBSTITUTE(L27,", ",", ")," + ",", ")&amp;", "))),OR(NOT(ISNUMBER(SEARCH(", MA,",", "&amp;SUBSTITUTE(SUBSTITUTE(L26,", ",", ")," + ",", ")&amp;", "))),ISNUMBER(SEARCH(", MA,",", "&amp;SUBSTITUTE(SUBSTITUTE(L27,", ",", ")," + ",", ")&amp;", "))),OR(NOT(ISNUMBER(SEARCH(", NA,",", "&amp;SUBSTITUTE(SUBSTITUTE(L26,", ",", ")," + ",", ")&amp;", "))),ISNUMBER(SEARCH(", NA,",", "&amp;SUBSTITUTE(SUBSTITUTE(L27,", ",", ")," + ",", ")&amp;", "))),OR(NOT(ISNUMBER(SEARCH(", TA,",", "&amp;SUBSTITUTE(SUBSTITUTE(L26,", ",", ")," + ",", ")&amp;", "))),ISNUMBER(SEARCH(", TA,",", "&amp;SUBSTITUTE(SUBSTITUTE(L27,", ",", ")," + ",", ")&amp;", "))),OR(NOT(ISNUMBER(SEARCH(", O/U,",", "&amp;SUBSTITUTE(SUBSTITUTE(L26,", ",", ")," + ",", ")&amp;", "))),ISNUMBER(SEARCH(", O/U,",", "&amp;SUBSTITUTE(SUBSTITUTE(L27,", ",", ")," + ",", ")&amp;", "))),OR(NOT(ISNUMBER(SEARCH(", KA,",", "&amp;SUBSTITUTE(SUBSTITUTE(L26,", ",", ")," + ",", ")&amp;", "))),ISNUMBER(SEARCH(", KA,",", "&amp;SUBSTITUTE(SUBSTITUTE(L27,", ",", ")," + ",", ")&amp;", "))),OR(NOT(ISNUMBER(SEARCH(", GA,",", "&amp;SUBSTITUTE(SUBSTITUTE(L26,", ",", ")," + ",", ")&amp;", "))),ISNUMBER(SEARCH(", GA,",", "&amp;SUBSTITUTE(SUBSTITUTE(L27,", ",", ")," + ",", ")&amp;", "))),OR(NOT(ISNUMBER(SEARCH(", SA,",", "&amp;SUBSTITUTE(SUBSTITUTE(L26,", ",", ")," + ",", ")&amp;", "))),ISNUMBER(SEARCH(", SA,",", "&amp;SUBSTITUTE(SUBSTITUTE(L27,", ",", ")," + ",", ")&amp;", "))),OR(NOT(ISNUMBER(SEARCH(", WA,",", "&amp;SUBSTITUTE(SUBSTITUTE(L26,", ",", ")," + ",", ")&amp;", "))),ISNUMBER(SEARCH(", WA,",", "&amp;SUBSTITUTE(SUBSTITUTE(L27,", ",", ")," + ",", ")&amp;", "))),OR(NOT(ISNUMBER(SEARCH(", YA,",", "&amp;SUBSTITUTE(SUBSTITUTE(L26,", ",", ")," + ",", ")&amp;", "))),ISNUMBER(SEARCH(", YA,",", "&amp;SUBSTITUTE(SUBSTITUTE(L27,", ",", ")," + ",", ")&amp;", "))),OR(NOT(ISNUMBER(SEARCH(", DA/RA,",", "&amp;SUBSTITUTE(SUBSTITUTE(L26,", ",", ")," + ",", ")&amp;", "))),ISNUMBER(SEARCH(", DA/RA,",", "&amp;SUBSTITUTE(SUBSTITUTE(L27,", ",", ")," + ",", ")&amp;", "))),OR(NOT(ISNUMBER(SEARCH(", HA,",", "&amp;SUBSTITUTE(SUBSTITUTE(L26,", ",", ")," + ",", ")&amp;", "))),ISNUMBER(SEARCH(", HA,",", "&amp;SUBSTITUTE(SUBSTITUTE(L27,", ",", ")," + ",", ")&amp;", "))),OR(NOT(ISNUMBER(SEARCH(", LA,",", "&amp;SUBSTITUTE(SUBSTITUTE(L26,", ",", ")," + ",", ")&amp;", "))),ISNUMBER(SEARCH(", LA,",", "&amp;SUBSTITUTE(SUBSTITUTE(L27,", ",", ")," + ",", ")&amp;", "))),OR(NOT(ISNUMBER(SEARCH(", NGA,",", "&amp;SUBSTITUTE(SUBSTITUTE(L26,", ",", ")," + ",", ")&amp;", "))),ISNUMBER(SEARCH(", NGA,",", "&amp;SUBSTITUTE(SUBSTITUTE(L27,", ",", ")," + ",", ")&amp;", "))),OR(NOT(ISNUMBER(SEARCH(", PA,",", "&amp;SUBSTITUTE(SUBSTITUTE(L26,", ",", ")," + ",", ")&amp;", "))),ISNUMBER(SEARCH(", PA,",", "&amp;SUBSTITUTE(SUBSTITUTE(L27,", ",", ")," + ",", ")&amp;", ")))),"PASS","FAIL")</x:f>
        <x:v>PASS</x:v>
      </x:c>
      <x:c r="N27" s="47" t="str">
        <x:v>Original</x:v>
      </x:c>
      <x:c r="O27" s="47" t="str"/>
      <x:c r="P27" s="47" t="str">
        <x:v>None</x:v>
      </x:c>
      <x:c r="Q27" s="47" t="str">
        <x:f>IF(OR(ISNUMBER(SEARCH("kudlit",LOWER(E27))),ISNUMBER(SEARCH("ᜒ",E27)),ISNUMBER(SEARCH("ᜓ",E27))),"Yes","No")</x:f>
        <x:v>No</x:v>
      </x:c>
      <x:c r="R27" s="47" t="str">
        <x:f>IF(OR(ISNUMBER(SEARCH("BE",E27)),ISNUMBER(SEARCH("BI",E27)),ISNUMBER(SEARCH("BO",E27)),ISNUMBER(SEARCH("BU",E27)),ISNUMBER(SEARCH("DE",E27)),ISNUMBER(SEARCH("DI",E27)),ISNUMBER(SEARCH("DO",E27)),ISNUMBER(SEARCH("DU",E27)),ISNUMBER(SEARCH("GE",E27)),ISNUMBER(SEARCH("GI",E27)),ISNUMBER(SEARCH("GO",E27)),ISNUMBER(SEARCH("GU",E27)),ISNUMBER(SEARCH("HE",E27)),ISNUMBER(SEARCH("HI",E27)),ISNUMBER(SEARCH("HO",E27)),ISNUMBER(SEARCH("HU",E27)),ISNUMBER(SEARCH("KE",E27)),ISNUMBER(SEARCH("KI",E27)),ISNUMBER(SEARCH("KO",E27)),ISNUMBER(SEARCH("KU",E27)),ISNUMBER(SEARCH("LE",E27)),ISNUMBER(SEARCH("LI",E27)),ISNUMBER(SEARCH("LO",E27)),ISNUMBER(SEARCH("LU",E27)),ISNUMBER(SEARCH("ME",E27)),ISNUMBER(SEARCH("MI",E27)),ISNUMBER(SEARCH("MO",E27)),ISNUMBER(SEARCH("MU",E27)),ISNUMBER(SEARCH("NE",E27)),ISNUMBER(SEARCH("NI",E27)),ISNUMBER(SEARCH("NO",E27)),ISNUMBER(SEARCH("NU",E27)),ISNUMBER(SEARCH("PE",E27)),ISNUMBER(SEARCH("PI",E27)),ISNUMBER(SEARCH("PO",E27)),ISNUMBER(SEARCH("PU",E27)),ISNUMBER(SEARCH("RE",E27)),ISNUMBER(SEARCH("RI",E27)),ISNUMBER(SEARCH("RO",E27)),ISNUMBER(SEARCH("RU",E27)),ISNUMBER(SEARCH("SE",E27)),ISNUMBER(SEARCH("SI",E27)),ISNUMBER(SEARCH("SO",E27)),ISNUMBER(SEARCH("SU",E27)),ISNUMBER(SEARCH("TE",E27)),ISNUMBER(SEARCH("TI",E27)),ISNUMBER(SEARCH("TO",E27)),ISNUMBER(SEARCH("TU",E27)),ISNUMBER(SEARCH("WE",E27)),ISNUMBER(SEARCH("WI",E27)),ISNUMBER(SEARCH("WO",E27)),ISNUMBER(SEARCH("WU",E27)),ISNUMBER(SEARCH("YE",E27)),ISNUMBER(SEARCH("YI",E27)),ISNUMBER(SEARCH("YO",E27)),ISNUMBER(SEARCH("YU",E27))),"Yes","No")</x:f>
        <x:v>No</x:v>
      </x:c>
      <x:c r="S27" s="47" t="str">
        <x:v>Era 2 - Ugnayan!D19 (two final focus words)</x:v>
      </x:c>
      <x:c r="T27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27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27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27," + "))=COUNTA(TEXTSPLIT(G27," + "))),"PASS","FAIL")</x:f>
        <x:v>PASS</x:v>
      </x:c>
      <x:c r="U27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27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"&amp;SUBSTITUTE(SUBSTITUTE(G27,", ",", ")," + ",", ")&amp;", "))),AND('Character Matrix'!$J$8&lt;&gt;"",'Character Matrix'!$Q$8&lt;&gt;"Missing",'Character Matrix'!$Q$8&lt;&gt;"Conflicting")),OR(NOT(ISNUMBER(SEARCH(", E/I,",", "&amp;SUBSTITUTE(SUBSTITUTE(G27,", ",", ")," + ",", ")&amp;", "))),AND('Character Matrix'!$J$9&lt;&gt;"",'Character Matrix'!$Q$9&lt;&gt;"Missing",'Character Matrix'!$Q$9&lt;&gt;"Conflicting")),OR(NOT(ISNUMBER(SEARCH(", BA,",", "&amp;SUBSTITUTE(SUBSTITUTE(G27,", ",", ")," + ",", ")&amp;", "))),AND('Character Matrix'!$J$10&lt;&gt;"",'Character Matrix'!$Q$10&lt;&gt;"Missing",'Character Matrix'!$Q$10&lt;&gt;"Conflicting")),OR(NOT(ISNUMBER(SEARCH(", MA,",", "&amp;SUBSTITUTE(SUBSTITUTE(G27,", ",", ")," + ",", ")&amp;", "))),AND('Character Matrix'!$J$11&lt;&gt;"",'Character Matrix'!$Q$11&lt;&gt;"Missing",'Character Matrix'!$Q$11&lt;&gt;"Conflicting")),OR(NOT(ISNUMBER(SEARCH(", NA,",", "&amp;SUBSTITUTE(SUBSTITUTE(G27,", ",", ")," + ",", ")&amp;", "))),AND('Character Matrix'!$J$12&lt;&gt;"",'Character Matrix'!$Q$12&lt;&gt;"Missing",'Character Matrix'!$Q$12&lt;&gt;"Conflicting")),OR(NOT(ISNUMBER(SEARCH(", TA,",", "&amp;SUBSTITUTE(SUBSTITUTE(G27,", ",", ")," + ",", ")&amp;", "))),AND('Character Matrix'!$J$13&lt;&gt;"",'Character Matrix'!$Q$13&lt;&gt;"Missing",'Character Matrix'!$Q$13&lt;&gt;"Conflicting")),OR(NOT(ISNUMBER(SEARCH(", O/U,",", "&amp;SUBSTITUTE(SUBSTITUTE(G27,", ",", ")," + ",", ")&amp;", "))),AND('Character Matrix'!$J$14&lt;&gt;"",'Character Matrix'!$Q$14&lt;&gt;"Missing",'Character Matrix'!$Q$14&lt;&gt;"Conflicting")),OR(NOT(ISNUMBER(SEARCH(", KA,",", "&amp;SUBSTITUTE(SUBSTITUTE(G27,", ",", ")," + ",", ")&amp;", "))),AND('Character Matrix'!$J$15&lt;&gt;"",'Character Matrix'!$Q$15&lt;&gt;"Missing",'Character Matrix'!$Q$15&lt;&gt;"Conflicting")),OR(NOT(ISNUMBER(SEARCH(", GA,",", "&amp;SUBSTITUTE(SUBSTITUTE(G27,", ",", ")," + ",", ")&amp;", "))),AND('Character Matrix'!$J$16&lt;&gt;"",'Character Matrix'!$Q$16&lt;&gt;"Missing",'Character Matrix'!$Q$16&lt;&gt;"Conflicting")),OR(NOT(ISNUMBER(SEARCH(", SA,",", "&amp;SUBSTITUTE(SUBSTITUTE(G27,", ",", ")," + ",", ")&amp;", "))),AND('Character Matrix'!$J$17&lt;&gt;"",'Character Matrix'!$Q$17&lt;&gt;"Missing",'Character Matrix'!$Q$17&lt;&gt;"Conflicting")),OR(NOT(ISNUMBER(SEARCH(", WA,",", "&amp;SUBSTITUTE(SUBSTITUTE(G27,", ",", ")," + ",", ")&amp;", "))),AND('Character Matrix'!$J$18&lt;&gt;"",'Character Matrix'!$Q$18&lt;&gt;"Missing",'Character Matrix'!$Q$18&lt;&gt;"Conflicting")),OR(NOT(ISNUMBER(SEARCH(", YA,",", "&amp;SUBSTITUTE(SUBSTITUTE(G27,", ",", ")," + ",", ")&amp;", "))),AND('Character Matrix'!$J$19&lt;&gt;"",'Character Matrix'!$Q$19&lt;&gt;"Missing",'Character Matrix'!$Q$19&lt;&gt;"Conflicting")),OR(NOT(ISNUMBER(SEARCH(", DA/RA,",", "&amp;SUBSTITUTE(SUBSTITUTE(G27,", ",", ")," + ",", ")&amp;", "))),AND('Character Matrix'!$J$20&lt;&gt;"",'Character Matrix'!$Q$20&lt;&gt;"Missing",'Character Matrix'!$Q$20&lt;&gt;"Conflicting")),OR(NOT(ISNUMBER(SEARCH(", HA,",", "&amp;SUBSTITUTE(SUBSTITUTE(G27,", ",", ")," + ",", ")&amp;", "))),AND('Character Matrix'!$J$21&lt;&gt;"",'Character Matrix'!$Q$21&lt;&gt;"Missing",'Character Matrix'!$Q$21&lt;&gt;"Conflicting")),OR(NOT(ISNUMBER(SEARCH(", LA,",", "&amp;SUBSTITUTE(SUBSTITUTE(G27,", ",", ")," + ",", ")&amp;", "))),AND('Character Matrix'!$J$22&lt;&gt;"",'Character Matrix'!$Q$22&lt;&gt;"Missing",'Character Matrix'!$Q$22&lt;&gt;"Conflicting")),OR(NOT(ISNUMBER(SEARCH(", NGA,",", "&amp;SUBSTITUTE(SUBSTITUTE(G27,", ",", ")," + ",", ")&amp;", "))),AND('Character Matrix'!$J$23&lt;&gt;"",'Character Matrix'!$Q$23&lt;&gt;"Missing",'Character Matrix'!$Q$23&lt;&gt;"Conflicting")),OR(NOT(ISNUMBER(SEARCH(", PA,",", "&amp;SUBSTITUTE(SUBSTITUTE(G27,", ",", ")," + ",", ")&amp;", "))),AND('Character Matrix'!$J$24&lt;&gt;"",'Character Matrix'!$Q$24&lt;&gt;"Missing",'Character Matrix'!$Q$24&lt;&gt;"Conflicting"))),"PASS","FAIL")</x:f>
        <x:v>PASS</x:v>
      </x:c>
      <x:c r="V27" s="48" t="str">
        <x:f>IF(AND(M27="PASS",Q27="No",R27="No",T27="PASS",U27="PASS",OR(K27="N/A",K27="PASS")),"PASS","FAIL")</x:f>
        <x:v>PASS</x:v>
      </x:c>
    </x:row>
    <x:row r="28" ht="52" customHeight="1">
      <x:c r="A28" s="46" t="n">
        <x:v>11</x:v>
      </x:c>
      <x:c r="B28" s="47" t="str">
        <x:v>Pamana</x:v>
      </x:c>
      <x:c r="C28" s="47" t="n">
        <x:v>1</x:v>
      </x:c>
      <x:c r="D28" s="47" t="n">
        <x:v>1</x:v>
      </x:c>
      <x:c r="E28" s="47" t="str">
        <x:v>DALA</x:v>
      </x:c>
      <x:c r="F28" s="47" t="str">
        <x:v>DA + LA</x:v>
      </x:c>
      <x:c r="G28" s="47" t="str">
        <x:v>DA/RA + LA</x:v>
      </x:c>
      <x:c r="H28" s="47" t="str">
        <x:v>LA</x:v>
      </x:c>
      <x:c r="I28" s="47" t="str">
        <x:v>LA</x:v>
      </x:c>
      <x:c r="J28" s="47" t="str"/>
      <x:c r="K28" s="47" t="str">
        <x:f>IF(D28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28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28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28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28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N/A</x:v>
      </x:c>
      <x:c r="L28" s="47" t="str">
        <x:v>A, E/I, BA, MA, NA, TA, O/U, KA, GA, SA, WA, YA, DA/RA, LA</x:v>
      </x:c>
      <x:c r="M28" s="47" t="str">
        <x:f>IF(AND(LEN(L28)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28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28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28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"&amp;SUBSTITUTE(SUBSTITUTE(G28,", ",", ")," + ",", ")&amp;", "))),ISNUMBER(SEARCH(", A,",", "&amp;SUBSTITUTE(SUBSTITUTE(L28,", ",", ")," + ",", ")&amp;", "))),OR(NOT(ISNUMBER(SEARCH(", E/I,",", "&amp;SUBSTITUTE(SUBSTITUTE(G28,", ",", ")," + ",", ")&amp;", "))),ISNUMBER(SEARCH(", E/I,",", "&amp;SUBSTITUTE(SUBSTITUTE(L28,", ",", ")," + ",", ")&amp;", "))),OR(NOT(ISNUMBER(SEARCH(", BA,",", "&amp;SUBSTITUTE(SUBSTITUTE(G28,", ",", ")," + ",", ")&amp;", "))),ISNUMBER(SEARCH(", BA,",", "&amp;SUBSTITUTE(SUBSTITUTE(L28,", ",", ")," + ",", ")&amp;", "))),OR(NOT(ISNUMBER(SEARCH(", MA,",", "&amp;SUBSTITUTE(SUBSTITUTE(G28,", ",", ")," + ",", ")&amp;", "))),ISNUMBER(SEARCH(", MA,",", "&amp;SUBSTITUTE(SUBSTITUTE(L28,", ",", ")," + ",", ")&amp;", "))),OR(NOT(ISNUMBER(SEARCH(", NA,",", "&amp;SUBSTITUTE(SUBSTITUTE(G28,", ",", ")," + ",", ")&amp;", "))),ISNUMBER(SEARCH(", NA,",", "&amp;SUBSTITUTE(SUBSTITUTE(L28,", ",", ")," + ",", ")&amp;", "))),OR(NOT(ISNUMBER(SEARCH(", TA,",", "&amp;SUBSTITUTE(SUBSTITUTE(G28,", ",", ")," + ",", ")&amp;", "))),ISNUMBER(SEARCH(", TA,",", "&amp;SUBSTITUTE(SUBSTITUTE(L28,", ",", ")," + ",", ")&amp;", "))),OR(NOT(ISNUMBER(SEARCH(", O/U,",", "&amp;SUBSTITUTE(SUBSTITUTE(G28,", ",", ")," + ",", ")&amp;", "))),ISNUMBER(SEARCH(", O/U,",", "&amp;SUBSTITUTE(SUBSTITUTE(L28,", ",", ")," + ",", ")&amp;", "))),OR(NOT(ISNUMBER(SEARCH(", KA,",", "&amp;SUBSTITUTE(SUBSTITUTE(G28,", ",", ")," + ",", ")&amp;", "))),ISNUMBER(SEARCH(", KA,",", "&amp;SUBSTITUTE(SUBSTITUTE(L28,", ",", ")," + ",", ")&amp;", "))),OR(NOT(ISNUMBER(SEARCH(", GA,",", "&amp;SUBSTITUTE(SUBSTITUTE(G28,", ",", ")," + ",", ")&amp;", "))),ISNUMBER(SEARCH(", GA,",", "&amp;SUBSTITUTE(SUBSTITUTE(L28,", ",", ")," + ",", ")&amp;", "))),OR(NOT(ISNUMBER(SEARCH(", SA,",", "&amp;SUBSTITUTE(SUBSTITUTE(G28,", ",", ")," + ",", ")&amp;", "))),ISNUMBER(SEARCH(", SA,",", "&amp;SUBSTITUTE(SUBSTITUTE(L28,", ",", ")," + ",", ")&amp;", "))),OR(NOT(ISNUMBER(SEARCH(", WA,",", "&amp;SUBSTITUTE(SUBSTITUTE(G28,", ",", ")," + ",", ")&amp;", "))),ISNUMBER(SEARCH(", WA,",", "&amp;SUBSTITUTE(SUBSTITUTE(L28,", ",", ")," + ",", ")&amp;", "))),OR(NOT(ISNUMBER(SEARCH(", YA,",", "&amp;SUBSTITUTE(SUBSTITUTE(G28,", ",", ")," + ",", ")&amp;", "))),ISNUMBER(SEARCH(", YA,",", "&amp;SUBSTITUTE(SUBSTITUTE(L28,", ",", ")," + ",", ")&amp;", "))),OR(NOT(ISNUMBER(SEARCH(", DA/RA,",", "&amp;SUBSTITUTE(SUBSTITUTE(G28,", ",", ")," + ",", ")&amp;", "))),ISNUMBER(SEARCH(", DA/RA,",", "&amp;SUBSTITUTE(SUBSTITUTE(L28,", ",", ")," + ",", ")&amp;", "))),OR(NOT(ISNUMBER(SEARCH(", HA,",", "&amp;SUBSTITUTE(SUBSTITUTE(G28,", ",", ")," + ",", ")&amp;", "))),ISNUMBER(SEARCH(", HA,",", "&amp;SUBSTITUTE(SUBSTITUTE(L28,", ",", ")," + ",", ")&amp;", "))),OR(NOT(ISNUMBER(SEARCH(", LA,",", "&amp;SUBSTITUTE(SUBSTITUTE(G28,", ",", ")," + ",", ")&amp;", "))),ISNUMBER(SEARCH(", LA,",", "&amp;SUBSTITUTE(SUBSTITUTE(L28,", ",", ")," + ",", ")&amp;", "))),OR(NOT(ISNUMBER(SEARCH(", NGA,",", "&amp;SUBSTITUTE(SUBSTITUTE(G28,", ",", ")," + ",", ")&amp;", "))),ISNUMBER(SEARCH(", NGA,",", "&amp;SUBSTITUTE(SUBSTITUTE(L28,", ",", ")," + ",", ")&amp;", "))),OR(NOT(ISNUMBER(SEARCH(", PA,",", "&amp;SUBSTITUTE(SUBSTITUTE(G28,", ",", ")," + ",", ")&amp;", "))),ISNUMBER(SEARCH(", PA,",", "&amp;SUBSTITUTE(SUBSTITUTE(L28,", ",", ")," + ",", ")&amp;", "))),OR(NOT(ISNUMBER(SEARCH(", A,",", "&amp;SUBSTITUTE(SUBSTITUTE(L27,", ",", ")," + ",", ")&amp;", "))),ISNUMBER(SEARCH(", A,",", "&amp;SUBSTITUTE(SUBSTITUTE(L28,", ",", ")," + ",", ")&amp;", "))),OR(NOT(ISNUMBER(SEARCH(", E/I,",", "&amp;SUBSTITUTE(SUBSTITUTE(L27,", ",", ")," + ",", ")&amp;", "))),ISNUMBER(SEARCH(", E/I,",", "&amp;SUBSTITUTE(SUBSTITUTE(L28,", ",", ")," + ",", ")&amp;", "))),OR(NOT(ISNUMBER(SEARCH(", BA,",", "&amp;SUBSTITUTE(SUBSTITUTE(L27,", ",", ")," + ",", ")&amp;", "))),ISNUMBER(SEARCH(", BA,",", "&amp;SUBSTITUTE(SUBSTITUTE(L28,", ",", ")," + ",", ")&amp;", "))),OR(NOT(ISNUMBER(SEARCH(", MA,",", "&amp;SUBSTITUTE(SUBSTITUTE(L27,", ",", ")," + ",", ")&amp;", "))),ISNUMBER(SEARCH(", MA,",", "&amp;SUBSTITUTE(SUBSTITUTE(L28,", ",", ")," + ",", ")&amp;", "))),OR(NOT(ISNUMBER(SEARCH(", NA,",", "&amp;SUBSTITUTE(SUBSTITUTE(L27,", ",", ")," + ",", ")&amp;", "))),ISNUMBER(SEARCH(", NA,",", "&amp;SUBSTITUTE(SUBSTITUTE(L28,", ",", ")," + ",", ")&amp;", "))),OR(NOT(ISNUMBER(SEARCH(", TA,",", "&amp;SUBSTITUTE(SUBSTITUTE(L27,", ",", ")," + ",", ")&amp;", "))),ISNUMBER(SEARCH(", TA,",", "&amp;SUBSTITUTE(SUBSTITUTE(L28,", ",", ")," + ",", ")&amp;", "))),OR(NOT(ISNUMBER(SEARCH(", O/U,",", "&amp;SUBSTITUTE(SUBSTITUTE(L27,", ",", ")," + ",", ")&amp;", "))),ISNUMBER(SEARCH(", O/U,",", "&amp;SUBSTITUTE(SUBSTITUTE(L28,", ",", ")," + ",", ")&amp;", "))),OR(NOT(ISNUMBER(SEARCH(", KA,",", "&amp;SUBSTITUTE(SUBSTITUTE(L27,", ",", ")," + ",", ")&amp;", "))),ISNUMBER(SEARCH(", KA,",", "&amp;SUBSTITUTE(SUBSTITUTE(L28,", ",", ")," + ",", ")&amp;", "))),OR(NOT(ISNUMBER(SEARCH(", GA,",", "&amp;SUBSTITUTE(SUBSTITUTE(L27,", ",", ")," + ",", ")&amp;", "))),ISNUMBER(SEARCH(", GA,",", "&amp;SUBSTITUTE(SUBSTITUTE(L28,", ",", ")," + ",", ")&amp;", "))),OR(NOT(ISNUMBER(SEARCH(", SA,",", "&amp;SUBSTITUTE(SUBSTITUTE(L27,", ",", ")," + ",", ")&amp;", "))),ISNUMBER(SEARCH(", SA,",", "&amp;SUBSTITUTE(SUBSTITUTE(L28,", ",", ")," + ",", ")&amp;", "))),OR(NOT(ISNUMBER(SEARCH(", WA,",", "&amp;SUBSTITUTE(SUBSTITUTE(L27,", ",", ")," + ",", ")&amp;", "))),ISNUMBER(SEARCH(", WA,",", "&amp;SUBSTITUTE(SUBSTITUTE(L28,", ",", ")," + ",", ")&amp;", "))),OR(NOT(ISNUMBER(SEARCH(", YA,",", "&amp;SUBSTITUTE(SUBSTITUTE(L27,", ",", ")," + ",", ")&amp;", "))),ISNUMBER(SEARCH(", YA,",", "&amp;SUBSTITUTE(SUBSTITUTE(L28,", ",", ")," + ",", ")&amp;", "))),OR(NOT(ISNUMBER(SEARCH(", DA/RA,",", "&amp;SUBSTITUTE(SUBSTITUTE(L27,", ",", ")," + ",", ")&amp;", "))),ISNUMBER(SEARCH(", DA/RA,",", "&amp;SUBSTITUTE(SUBSTITUTE(L28,", ",", ")," + ",", ")&amp;", "))),OR(NOT(ISNUMBER(SEARCH(", HA,",", "&amp;SUBSTITUTE(SUBSTITUTE(L27,", ",", ")," + ",", ")&amp;", "))),ISNUMBER(SEARCH(", HA,",", "&amp;SUBSTITUTE(SUBSTITUTE(L28,", ",", ")," + ",", ")&amp;", "))),OR(NOT(ISNUMBER(SEARCH(", LA,",", "&amp;SUBSTITUTE(SUBSTITUTE(L27,", ",", ")," + ",", ")&amp;", "))),ISNUMBER(SEARCH(", LA,",", "&amp;SUBSTITUTE(SUBSTITUTE(L28,", ",", ")," + ",", ")&amp;", "))),OR(NOT(ISNUMBER(SEARCH(", NGA,",", "&amp;SUBSTITUTE(SUBSTITUTE(L27,", ",", ")," + ",", ")&amp;", "))),ISNUMBER(SEARCH(", NGA,",", "&amp;SUBSTITUTE(SUBSTITUTE(L28,", ",", ")," + ",", ")&amp;", "))),OR(NOT(ISNUMBER(SEARCH(", PA,",", "&amp;SUBSTITUTE(SUBSTITUTE(L27,", ",", ")," + ",", ")&amp;", "))),ISNUMBER(SEARCH(", PA,",", "&amp;SUBSTITUTE(SUBSTITUTE(L28,", ",", ")," + ",", ")&amp;", ")))),"PASS","FAIL")</x:f>
        <x:v>PASS</x:v>
      </x:c>
      <x:c r="N28" s="47" t="str">
        <x:v>Original</x:v>
      </x:c>
      <x:c r="O28" s="47" t="str"/>
      <x:c r="P28" s="47" t="str">
        <x:v>None</x:v>
      </x:c>
      <x:c r="Q28" s="47" t="str">
        <x:f>IF(OR(ISNUMBER(SEARCH("kudlit",LOWER(E28))),ISNUMBER(SEARCH("ᜒ",E28)),ISNUMBER(SEARCH("ᜓ",E28))),"Yes","No")</x:f>
        <x:v>No</x:v>
      </x:c>
      <x:c r="R28" s="47" t="str">
        <x:f>IF(OR(ISNUMBER(SEARCH("BE",E28)),ISNUMBER(SEARCH("BI",E28)),ISNUMBER(SEARCH("BO",E28)),ISNUMBER(SEARCH("BU",E28)),ISNUMBER(SEARCH("DE",E28)),ISNUMBER(SEARCH("DI",E28)),ISNUMBER(SEARCH("DO",E28)),ISNUMBER(SEARCH("DU",E28)),ISNUMBER(SEARCH("GE",E28)),ISNUMBER(SEARCH("GI",E28)),ISNUMBER(SEARCH("GO",E28)),ISNUMBER(SEARCH("GU",E28)),ISNUMBER(SEARCH("HE",E28)),ISNUMBER(SEARCH("HI",E28)),ISNUMBER(SEARCH("HO",E28)),ISNUMBER(SEARCH("HU",E28)),ISNUMBER(SEARCH("KE",E28)),ISNUMBER(SEARCH("KI",E28)),ISNUMBER(SEARCH("KO",E28)),ISNUMBER(SEARCH("KU",E28)),ISNUMBER(SEARCH("LE",E28)),ISNUMBER(SEARCH("LI",E28)),ISNUMBER(SEARCH("LO",E28)),ISNUMBER(SEARCH("LU",E28)),ISNUMBER(SEARCH("ME",E28)),ISNUMBER(SEARCH("MI",E28)),ISNUMBER(SEARCH("MO",E28)),ISNUMBER(SEARCH("MU",E28)),ISNUMBER(SEARCH("NE",E28)),ISNUMBER(SEARCH("NI",E28)),ISNUMBER(SEARCH("NO",E28)),ISNUMBER(SEARCH("NU",E28)),ISNUMBER(SEARCH("PE",E28)),ISNUMBER(SEARCH("PI",E28)),ISNUMBER(SEARCH("PO",E28)),ISNUMBER(SEARCH("PU",E28)),ISNUMBER(SEARCH("RE",E28)),ISNUMBER(SEARCH("RI",E28)),ISNUMBER(SEARCH("RO",E28)),ISNUMBER(SEARCH("RU",E28)),ISNUMBER(SEARCH("SE",E28)),ISNUMBER(SEARCH("SI",E28)),ISNUMBER(SEARCH("SO",E28)),ISNUMBER(SEARCH("SU",E28)),ISNUMBER(SEARCH("TE",E28)),ISNUMBER(SEARCH("TI",E28)),ISNUMBER(SEARCH("TO",E28)),ISNUMBER(SEARCH("TU",E28)),ISNUMBER(SEARCH("WE",E28)),ISNUMBER(SEARCH("WI",E28)),ISNUMBER(SEARCH("WO",E28)),ISNUMBER(SEARCH("WU",E28)),ISNUMBER(SEARCH("YE",E28)),ISNUMBER(SEARCH("YI",E28)),ISNUMBER(SEARCH("YO",E28)),ISNUMBER(SEARCH("YU",E28))),"Yes","No")</x:f>
        <x:v>No</x:v>
      </x:c>
      <x:c r="S28" s="47" t="str">
        <x:v>Era 3 - Pamana!D15</x:v>
      </x:c>
      <x:c r="T28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28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28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28," + "))=COUNTA(TEXTSPLIT(G28," + "))),"PASS","FAIL")</x:f>
        <x:v>PASS</x:v>
      </x:c>
      <x:c r="U28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28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"&amp;SUBSTITUTE(SUBSTITUTE(G28,", ",", ")," + ",", ")&amp;", "))),AND('Character Matrix'!$J$8&lt;&gt;"",'Character Matrix'!$Q$8&lt;&gt;"Missing",'Character Matrix'!$Q$8&lt;&gt;"Conflicting")),OR(NOT(ISNUMBER(SEARCH(", E/I,",", "&amp;SUBSTITUTE(SUBSTITUTE(G28,", ",", ")," + ",", ")&amp;", "))),AND('Character Matrix'!$J$9&lt;&gt;"",'Character Matrix'!$Q$9&lt;&gt;"Missing",'Character Matrix'!$Q$9&lt;&gt;"Conflicting")),OR(NOT(ISNUMBER(SEARCH(", BA,",", "&amp;SUBSTITUTE(SUBSTITUTE(G28,", ",", ")," + ",", ")&amp;", "))),AND('Character Matrix'!$J$10&lt;&gt;"",'Character Matrix'!$Q$10&lt;&gt;"Missing",'Character Matrix'!$Q$10&lt;&gt;"Conflicting")),OR(NOT(ISNUMBER(SEARCH(", MA,",", "&amp;SUBSTITUTE(SUBSTITUTE(G28,", ",", ")," + ",", ")&amp;", "))),AND('Character Matrix'!$J$11&lt;&gt;"",'Character Matrix'!$Q$11&lt;&gt;"Missing",'Character Matrix'!$Q$11&lt;&gt;"Conflicting")),OR(NOT(ISNUMBER(SEARCH(", NA,",", "&amp;SUBSTITUTE(SUBSTITUTE(G28,", ",", ")," + ",", ")&amp;", "))),AND('Character Matrix'!$J$12&lt;&gt;"",'Character Matrix'!$Q$12&lt;&gt;"Missing",'Character Matrix'!$Q$12&lt;&gt;"Conflicting")),OR(NOT(ISNUMBER(SEARCH(", TA,",", "&amp;SUBSTITUTE(SUBSTITUTE(G28,", ",", ")," + ",", ")&amp;", "))),AND('Character Matrix'!$J$13&lt;&gt;"",'Character Matrix'!$Q$13&lt;&gt;"Missing",'Character Matrix'!$Q$13&lt;&gt;"Conflicting")),OR(NOT(ISNUMBER(SEARCH(", O/U,",", "&amp;SUBSTITUTE(SUBSTITUTE(G28,", ",", ")," + ",", ")&amp;", "))),AND('Character Matrix'!$J$14&lt;&gt;"",'Character Matrix'!$Q$14&lt;&gt;"Missing",'Character Matrix'!$Q$14&lt;&gt;"Conflicting")),OR(NOT(ISNUMBER(SEARCH(", KA,",", "&amp;SUBSTITUTE(SUBSTITUTE(G28,", ",", ")," + ",", ")&amp;", "))),AND('Character Matrix'!$J$15&lt;&gt;"",'Character Matrix'!$Q$15&lt;&gt;"Missing",'Character Matrix'!$Q$15&lt;&gt;"Conflicting")),OR(NOT(ISNUMBER(SEARCH(", GA,",", "&amp;SUBSTITUTE(SUBSTITUTE(G28,", ",", ")," + ",", ")&amp;", "))),AND('Character Matrix'!$J$16&lt;&gt;"",'Character Matrix'!$Q$16&lt;&gt;"Missing",'Character Matrix'!$Q$16&lt;&gt;"Conflicting")),OR(NOT(ISNUMBER(SEARCH(", SA,",", "&amp;SUBSTITUTE(SUBSTITUTE(G28,", ",", ")," + ",", ")&amp;", "))),AND('Character Matrix'!$J$17&lt;&gt;"",'Character Matrix'!$Q$17&lt;&gt;"Missing",'Character Matrix'!$Q$17&lt;&gt;"Conflicting")),OR(NOT(ISNUMBER(SEARCH(", WA,",", "&amp;SUBSTITUTE(SUBSTITUTE(G28,", ",", ")," + ",", ")&amp;", "))),AND('Character Matrix'!$J$18&lt;&gt;"",'Character Matrix'!$Q$18&lt;&gt;"Missing",'Character Matrix'!$Q$18&lt;&gt;"Conflicting")),OR(NOT(ISNUMBER(SEARCH(", YA,",", "&amp;SUBSTITUTE(SUBSTITUTE(G28,", ",", ")," + ",", ")&amp;", "))),AND('Character Matrix'!$J$19&lt;&gt;"",'Character Matrix'!$Q$19&lt;&gt;"Missing",'Character Matrix'!$Q$19&lt;&gt;"Conflicting")),OR(NOT(ISNUMBER(SEARCH(", DA/RA,",", "&amp;SUBSTITUTE(SUBSTITUTE(G28,", ",", ")," + ",", ")&amp;", "))),AND('Character Matrix'!$J$20&lt;&gt;"",'Character Matrix'!$Q$20&lt;&gt;"Missing",'Character Matrix'!$Q$20&lt;&gt;"Conflicting")),OR(NOT(ISNUMBER(SEARCH(", HA,",", "&amp;SUBSTITUTE(SUBSTITUTE(G28,", ",", ")," + ",", ")&amp;", "))),AND('Character Matrix'!$J$21&lt;&gt;"",'Character Matrix'!$Q$21&lt;&gt;"Missing",'Character Matrix'!$Q$21&lt;&gt;"Conflicting")),OR(NOT(ISNUMBER(SEARCH(", LA,",", "&amp;SUBSTITUTE(SUBSTITUTE(G28,", ",", ")," + ",", ")&amp;", "))),AND('Character Matrix'!$J$22&lt;&gt;"",'Character Matrix'!$Q$22&lt;&gt;"Missing",'Character Matrix'!$Q$22&lt;&gt;"Conflicting")),OR(NOT(ISNUMBER(SEARCH(", NGA,",", "&amp;SUBSTITUTE(SUBSTITUTE(G28,", ",", ")," + ",", ")&amp;", "))),AND('Character Matrix'!$J$23&lt;&gt;"",'Character Matrix'!$Q$23&lt;&gt;"Missing",'Character Matrix'!$Q$23&lt;&gt;"Conflicting")),OR(NOT(ISNUMBER(SEARCH(", PA,",", "&amp;SUBSTITUTE(SUBSTITUTE(G28,", ",", ")," + ",", ")&amp;", "))),AND('Character Matrix'!$J$24&lt;&gt;"",'Character Matrix'!$Q$24&lt;&gt;"Missing",'Character Matrix'!$Q$24&lt;&gt;"Conflicting"))),"PASS","FAIL")</x:f>
        <x:v>PASS</x:v>
      </x:c>
      <x:c r="V28" s="48" t="str">
        <x:f>IF(AND(M28="PASS",Q28="No",R28="No",T28="PASS",U28="PASS",OR(K28="N/A",K28="PASS")),"PASS","FAIL")</x:f>
        <x:v>PASS</x:v>
      </x:c>
    </x:row>
    <x:row r="29" ht="52" customHeight="1">
      <x:c r="A29" s="46" t="n">
        <x:v>11</x:v>
      </x:c>
      <x:c r="B29" s="47" t="str">
        <x:v>Pamana</x:v>
      </x:c>
      <x:c r="C29" s="47" t="n">
        <x:v>1</x:v>
      </x:c>
      <x:c r="D29" s="47" t="n">
        <x:v>2</x:v>
      </x:c>
      <x:c r="E29" s="47" t="str">
        <x:v>DAMA</x:v>
      </x:c>
      <x:c r="F29" s="47" t="str">
        <x:v>DA + MA</x:v>
      </x:c>
      <x:c r="G29" s="47" t="str">
        <x:v>DA/RA + MA</x:v>
      </x:c>
      <x:c r="H29" s="47" t="str">
        <x:v>MA</x:v>
      </x:c>
      <x:c r="I29" s="47" t="str">
        <x:v>MA</x:v>
      </x:c>
      <x:c r="J29" s="47" t="str">
        <x:v>MA</x:v>
      </x:c>
      <x:c r="K29" s="47" t="str">
        <x:f>IF(D29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29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29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29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29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PASS</x:v>
      </x:c>
      <x:c r="L29" s="47" t="str">
        <x:v>A, E/I, BA, MA, NA, TA, O/U, KA, GA, SA, WA, YA, DA/RA, LA</x:v>
      </x:c>
      <x:c r="M29" s="47" t="str">
        <x:f>IF(AND(LEN(L29)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29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29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29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"&amp;SUBSTITUTE(SUBSTITUTE(G29,", ",", ")," + ",", ")&amp;", "))),ISNUMBER(SEARCH(", A,",", "&amp;SUBSTITUTE(SUBSTITUTE(L29,", ",", ")," + ",", ")&amp;", "))),OR(NOT(ISNUMBER(SEARCH(", E/I,",", "&amp;SUBSTITUTE(SUBSTITUTE(G29,", ",", ")," + ",", ")&amp;", "))),ISNUMBER(SEARCH(", E/I,",", "&amp;SUBSTITUTE(SUBSTITUTE(L29,", ",", ")," + ",", ")&amp;", "))),OR(NOT(ISNUMBER(SEARCH(", BA,",", "&amp;SUBSTITUTE(SUBSTITUTE(G29,", ",", ")," + ",", ")&amp;", "))),ISNUMBER(SEARCH(", BA,",", "&amp;SUBSTITUTE(SUBSTITUTE(L29,", ",", ")," + ",", ")&amp;", "))),OR(NOT(ISNUMBER(SEARCH(", MA,",", "&amp;SUBSTITUTE(SUBSTITUTE(G29,", ",", ")," + ",", ")&amp;", "))),ISNUMBER(SEARCH(", MA,",", "&amp;SUBSTITUTE(SUBSTITUTE(L29,", ",", ")," + ",", ")&amp;", "))),OR(NOT(ISNUMBER(SEARCH(", NA,",", "&amp;SUBSTITUTE(SUBSTITUTE(G29,", ",", ")," + ",", ")&amp;", "))),ISNUMBER(SEARCH(", NA,",", "&amp;SUBSTITUTE(SUBSTITUTE(L29,", ",", ")," + ",", ")&amp;", "))),OR(NOT(ISNUMBER(SEARCH(", TA,",", "&amp;SUBSTITUTE(SUBSTITUTE(G29,", ",", ")," + ",", ")&amp;", "))),ISNUMBER(SEARCH(", TA,",", "&amp;SUBSTITUTE(SUBSTITUTE(L29,", ",", ")," + ",", ")&amp;", "))),OR(NOT(ISNUMBER(SEARCH(", O/U,",", "&amp;SUBSTITUTE(SUBSTITUTE(G29,", ",", ")," + ",", ")&amp;", "))),ISNUMBER(SEARCH(", O/U,",", "&amp;SUBSTITUTE(SUBSTITUTE(L29,", ",", ")," + ",", ")&amp;", "))),OR(NOT(ISNUMBER(SEARCH(", KA,",", "&amp;SUBSTITUTE(SUBSTITUTE(G29,", ",", ")," + ",", ")&amp;", "))),ISNUMBER(SEARCH(", KA,",", "&amp;SUBSTITUTE(SUBSTITUTE(L29,", ",", ")," + ",", ")&amp;", "))),OR(NOT(ISNUMBER(SEARCH(", GA,",", "&amp;SUBSTITUTE(SUBSTITUTE(G29,", ",", ")," + ",", ")&amp;", "))),ISNUMBER(SEARCH(", GA,",", "&amp;SUBSTITUTE(SUBSTITUTE(L29,", ",", ")," + ",", ")&amp;", "))),OR(NOT(ISNUMBER(SEARCH(", SA,",", "&amp;SUBSTITUTE(SUBSTITUTE(G29,", ",", ")," + ",", ")&amp;", "))),ISNUMBER(SEARCH(", SA,",", "&amp;SUBSTITUTE(SUBSTITUTE(L29,", ",", ")," + ",", ")&amp;", "))),OR(NOT(ISNUMBER(SEARCH(", WA,",", "&amp;SUBSTITUTE(SUBSTITUTE(G29,", ",", ")," + ",", ")&amp;", "))),ISNUMBER(SEARCH(", WA,",", "&amp;SUBSTITUTE(SUBSTITUTE(L29,", ",", ")," + ",", ")&amp;", "))),OR(NOT(ISNUMBER(SEARCH(", YA,",", "&amp;SUBSTITUTE(SUBSTITUTE(G29,", ",", ")," + ",", ")&amp;", "))),ISNUMBER(SEARCH(", YA,",", "&amp;SUBSTITUTE(SUBSTITUTE(L29,", ",", ")," + ",", ")&amp;", "))),OR(NOT(ISNUMBER(SEARCH(", DA/RA,",", "&amp;SUBSTITUTE(SUBSTITUTE(G29,", ",", ")," + ",", ")&amp;", "))),ISNUMBER(SEARCH(", DA/RA,",", "&amp;SUBSTITUTE(SUBSTITUTE(L29,", ",", ")," + ",", ")&amp;", "))),OR(NOT(ISNUMBER(SEARCH(", HA,",", "&amp;SUBSTITUTE(SUBSTITUTE(G29,", ",", ")," + ",", ")&amp;", "))),ISNUMBER(SEARCH(", HA,",", "&amp;SUBSTITUTE(SUBSTITUTE(L29,", ",", ")," + ",", ")&amp;", "))),OR(NOT(ISNUMBER(SEARCH(", LA,",", "&amp;SUBSTITUTE(SUBSTITUTE(G29,", ",", ")," + ",", ")&amp;", "))),ISNUMBER(SEARCH(", LA,",", "&amp;SUBSTITUTE(SUBSTITUTE(L29,", ",", ")," + ",", ")&amp;", "))),OR(NOT(ISNUMBER(SEARCH(", NGA,",", "&amp;SUBSTITUTE(SUBSTITUTE(G29,", ",", ")," + ",", ")&amp;", "))),ISNUMBER(SEARCH(", NGA,",", "&amp;SUBSTITUTE(SUBSTITUTE(L29,", ",", ")," + ",", ")&amp;", "))),OR(NOT(ISNUMBER(SEARCH(", PA,",", "&amp;SUBSTITUTE(SUBSTITUTE(G29,", ",", ")," + ",", ")&amp;", "))),ISNUMBER(SEARCH(", PA,",", "&amp;SUBSTITUTE(SUBSTITUTE(L29,", ",", ")," + ",", ")&amp;", "))),OR(NOT(ISNUMBER(SEARCH(", A,",", "&amp;SUBSTITUTE(SUBSTITUTE(L28,", ",", ")," + ",", ")&amp;", "))),ISNUMBER(SEARCH(", A,",", "&amp;SUBSTITUTE(SUBSTITUTE(L29,", ",", ")," + ",", ")&amp;", "))),OR(NOT(ISNUMBER(SEARCH(", E/I,",", "&amp;SUBSTITUTE(SUBSTITUTE(L28,", ",", ")," + ",", ")&amp;", "))),ISNUMBER(SEARCH(", E/I,",", "&amp;SUBSTITUTE(SUBSTITUTE(L29,", ",", ")," + ",", ")&amp;", "))),OR(NOT(ISNUMBER(SEARCH(", BA,",", "&amp;SUBSTITUTE(SUBSTITUTE(L28,", ",", ")," + ",", ")&amp;", "))),ISNUMBER(SEARCH(", BA,",", "&amp;SUBSTITUTE(SUBSTITUTE(L29,", ",", ")," + ",", ")&amp;", "))),OR(NOT(ISNUMBER(SEARCH(", MA,",", "&amp;SUBSTITUTE(SUBSTITUTE(L28,", ",", ")," + ",", ")&amp;", "))),ISNUMBER(SEARCH(", MA,",", "&amp;SUBSTITUTE(SUBSTITUTE(L29,", ",", ")," + ",", ")&amp;", "))),OR(NOT(ISNUMBER(SEARCH(", NA,",", "&amp;SUBSTITUTE(SUBSTITUTE(L28,", ",", ")," + ",", ")&amp;", "))),ISNUMBER(SEARCH(", NA,",", "&amp;SUBSTITUTE(SUBSTITUTE(L29,", ",", ")," + ",", ")&amp;", "))),OR(NOT(ISNUMBER(SEARCH(", TA,",", "&amp;SUBSTITUTE(SUBSTITUTE(L28,", ",", ")," + ",", ")&amp;", "))),ISNUMBER(SEARCH(", TA,",", "&amp;SUBSTITUTE(SUBSTITUTE(L29,", ",", ")," + ",", ")&amp;", "))),OR(NOT(ISNUMBER(SEARCH(", O/U,",", "&amp;SUBSTITUTE(SUBSTITUTE(L28,", ",", ")," + ",", ")&amp;", "))),ISNUMBER(SEARCH(", O/U,",", "&amp;SUBSTITUTE(SUBSTITUTE(L29,", ",", ")," + ",", ")&amp;", "))),OR(NOT(ISNUMBER(SEARCH(", KA,",", "&amp;SUBSTITUTE(SUBSTITUTE(L28,", ",", ")," + ",", ")&amp;", "))),ISNUMBER(SEARCH(", KA,",", "&amp;SUBSTITUTE(SUBSTITUTE(L29,", ",", ")," + ",", ")&amp;", "))),OR(NOT(ISNUMBER(SEARCH(", GA,",", "&amp;SUBSTITUTE(SUBSTITUTE(L28,", ",", ")," + ",", ")&amp;", "))),ISNUMBER(SEARCH(", GA,",", "&amp;SUBSTITUTE(SUBSTITUTE(L29,", ",", ")," + ",", ")&amp;", "))),OR(NOT(ISNUMBER(SEARCH(", SA,",", "&amp;SUBSTITUTE(SUBSTITUTE(L28,", ",", ")," + ",", ")&amp;", "))),ISNUMBER(SEARCH(", SA,",", "&amp;SUBSTITUTE(SUBSTITUTE(L29,", ",", ")," + ",", ")&amp;", "))),OR(NOT(ISNUMBER(SEARCH(", WA,",", "&amp;SUBSTITUTE(SUBSTITUTE(L28,", ",", ")," + ",", ")&amp;", "))),ISNUMBER(SEARCH(", WA,",", "&amp;SUBSTITUTE(SUBSTITUTE(L29,", ",", ")," + ",", ")&amp;", "))),OR(NOT(ISNUMBER(SEARCH(", YA,",", "&amp;SUBSTITUTE(SUBSTITUTE(L28,", ",", ")," + ",", ")&amp;", "))),ISNUMBER(SEARCH(", YA,",", "&amp;SUBSTITUTE(SUBSTITUTE(L29,", ",", ")," + ",", ")&amp;", "))),OR(NOT(ISNUMBER(SEARCH(", DA/RA,",", "&amp;SUBSTITUTE(SUBSTITUTE(L28,", ",", ")," + ",", ")&amp;", "))),ISNUMBER(SEARCH(", DA/RA,",", "&amp;SUBSTITUTE(SUBSTITUTE(L29,", ",", ")," + ",", ")&amp;", "))),OR(NOT(ISNUMBER(SEARCH(", HA,",", "&amp;SUBSTITUTE(SUBSTITUTE(L28,", ",", ")," + ",", ")&amp;", "))),ISNUMBER(SEARCH(", HA,",", "&amp;SUBSTITUTE(SUBSTITUTE(L29,", ",", ")," + ",", ")&amp;", "))),OR(NOT(ISNUMBER(SEARCH(", LA,",", "&amp;SUBSTITUTE(SUBSTITUTE(L28,", ",", ")," + ",", ")&amp;", "))),ISNUMBER(SEARCH(", LA,",", "&amp;SUBSTITUTE(SUBSTITUTE(L29,", ",", ")," + ",", ")&amp;", "))),OR(NOT(ISNUMBER(SEARCH(", NGA,",", "&amp;SUBSTITUTE(SUBSTITUTE(L28,", ",", ")," + ",", ")&amp;", "))),ISNUMBER(SEARCH(", NGA,",", "&amp;SUBSTITUTE(SUBSTITUTE(L29,", ",", ")," + ",", ")&amp;", "))),OR(NOT(ISNUMBER(SEARCH(", PA,",", "&amp;SUBSTITUTE(SUBSTITUTE(L28,", ",", ")," + ",", ")&amp;", "))),ISNUMBER(SEARCH(", PA,",", "&amp;SUBSTITUTE(SUBSTITUTE(L29,", ",", ")," + ",", ")&amp;", ")))),"PASS","FAIL")</x:f>
        <x:v>PASS</x:v>
      </x:c>
      <x:c r="N29" s="47" t="str">
        <x:v>Original</x:v>
      </x:c>
      <x:c r="O29" s="47" t="str"/>
      <x:c r="P29" s="47" t="str">
        <x:v>None</x:v>
      </x:c>
      <x:c r="Q29" s="47" t="str">
        <x:f>IF(OR(ISNUMBER(SEARCH("kudlit",LOWER(E29))),ISNUMBER(SEARCH("ᜒ",E29)),ISNUMBER(SEARCH("ᜓ",E29))),"Yes","No")</x:f>
        <x:v>No</x:v>
      </x:c>
      <x:c r="R29" s="47" t="str">
        <x:f>IF(OR(ISNUMBER(SEARCH("BE",E29)),ISNUMBER(SEARCH("BI",E29)),ISNUMBER(SEARCH("BO",E29)),ISNUMBER(SEARCH("BU",E29)),ISNUMBER(SEARCH("DE",E29)),ISNUMBER(SEARCH("DI",E29)),ISNUMBER(SEARCH("DO",E29)),ISNUMBER(SEARCH("DU",E29)),ISNUMBER(SEARCH("GE",E29)),ISNUMBER(SEARCH("GI",E29)),ISNUMBER(SEARCH("GO",E29)),ISNUMBER(SEARCH("GU",E29)),ISNUMBER(SEARCH("HE",E29)),ISNUMBER(SEARCH("HI",E29)),ISNUMBER(SEARCH("HO",E29)),ISNUMBER(SEARCH("HU",E29)),ISNUMBER(SEARCH("KE",E29)),ISNUMBER(SEARCH("KI",E29)),ISNUMBER(SEARCH("KO",E29)),ISNUMBER(SEARCH("KU",E29)),ISNUMBER(SEARCH("LE",E29)),ISNUMBER(SEARCH("LI",E29)),ISNUMBER(SEARCH("LO",E29)),ISNUMBER(SEARCH("LU",E29)),ISNUMBER(SEARCH("ME",E29)),ISNUMBER(SEARCH("MI",E29)),ISNUMBER(SEARCH("MO",E29)),ISNUMBER(SEARCH("MU",E29)),ISNUMBER(SEARCH("NE",E29)),ISNUMBER(SEARCH("NI",E29)),ISNUMBER(SEARCH("NO",E29)),ISNUMBER(SEARCH("NU",E29)),ISNUMBER(SEARCH("PE",E29)),ISNUMBER(SEARCH("PI",E29)),ISNUMBER(SEARCH("PO",E29)),ISNUMBER(SEARCH("PU",E29)),ISNUMBER(SEARCH("RE",E29)),ISNUMBER(SEARCH("RI",E29)),ISNUMBER(SEARCH("RO",E29)),ISNUMBER(SEARCH("RU",E29)),ISNUMBER(SEARCH("SE",E29)),ISNUMBER(SEARCH("SI",E29)),ISNUMBER(SEARCH("SO",E29)),ISNUMBER(SEARCH("SU",E29)),ISNUMBER(SEARCH("TE",E29)),ISNUMBER(SEARCH("TI",E29)),ISNUMBER(SEARCH("TO",E29)),ISNUMBER(SEARCH("TU",E29)),ISNUMBER(SEARCH("WE",E29)),ISNUMBER(SEARCH("WI",E29)),ISNUMBER(SEARCH("WO",E29)),ISNUMBER(SEARCH("WU",E29)),ISNUMBER(SEARCH("YE",E29)),ISNUMBER(SEARCH("YI",E29)),ISNUMBER(SEARCH("YO",E29)),ISNUMBER(SEARCH("YU",E29))),"Yes","No")</x:f>
        <x:v>No</x:v>
      </x:c>
      <x:c r="S29" s="47" t="str">
        <x:v>Era 3 - Pamana!D15</x:v>
      </x:c>
      <x:c r="T29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29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29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29," + "))=COUNTA(TEXTSPLIT(G29," + "))),"PASS","FAIL")</x:f>
        <x:v>PASS</x:v>
      </x:c>
      <x:c r="U29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29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"&amp;SUBSTITUTE(SUBSTITUTE(G29,", ",", ")," + ",", ")&amp;", "))),AND('Character Matrix'!$J$8&lt;&gt;"",'Character Matrix'!$Q$8&lt;&gt;"Missing",'Character Matrix'!$Q$8&lt;&gt;"Conflicting")),OR(NOT(ISNUMBER(SEARCH(", E/I,",", "&amp;SUBSTITUTE(SUBSTITUTE(G29,", ",", ")," + ",", ")&amp;", "))),AND('Character Matrix'!$J$9&lt;&gt;"",'Character Matrix'!$Q$9&lt;&gt;"Missing",'Character Matrix'!$Q$9&lt;&gt;"Conflicting")),OR(NOT(ISNUMBER(SEARCH(", BA,",", "&amp;SUBSTITUTE(SUBSTITUTE(G29,", ",", ")," + ",", ")&amp;", "))),AND('Character Matrix'!$J$10&lt;&gt;"",'Character Matrix'!$Q$10&lt;&gt;"Missing",'Character Matrix'!$Q$10&lt;&gt;"Conflicting")),OR(NOT(ISNUMBER(SEARCH(", MA,",", "&amp;SUBSTITUTE(SUBSTITUTE(G29,", ",", ")," + ",", ")&amp;", "))),AND('Character Matrix'!$J$11&lt;&gt;"",'Character Matrix'!$Q$11&lt;&gt;"Missing",'Character Matrix'!$Q$11&lt;&gt;"Conflicting")),OR(NOT(ISNUMBER(SEARCH(", NA,",", "&amp;SUBSTITUTE(SUBSTITUTE(G29,", ",", ")," + ",", ")&amp;", "))),AND('Character Matrix'!$J$12&lt;&gt;"",'Character Matrix'!$Q$12&lt;&gt;"Missing",'Character Matrix'!$Q$12&lt;&gt;"Conflicting")),OR(NOT(ISNUMBER(SEARCH(", TA,",", "&amp;SUBSTITUTE(SUBSTITUTE(G29,", ",", ")," + ",", ")&amp;", "))),AND('Character Matrix'!$J$13&lt;&gt;"",'Character Matrix'!$Q$13&lt;&gt;"Missing",'Character Matrix'!$Q$13&lt;&gt;"Conflicting")),OR(NOT(ISNUMBER(SEARCH(", O/U,",", "&amp;SUBSTITUTE(SUBSTITUTE(G29,", ",", ")," + ",", ")&amp;", "))),AND('Character Matrix'!$J$14&lt;&gt;"",'Character Matrix'!$Q$14&lt;&gt;"Missing",'Character Matrix'!$Q$14&lt;&gt;"Conflicting")),OR(NOT(ISNUMBER(SEARCH(", KA,",", "&amp;SUBSTITUTE(SUBSTITUTE(G29,", ",", ")," + ",", ")&amp;", "))),AND('Character Matrix'!$J$15&lt;&gt;"",'Character Matrix'!$Q$15&lt;&gt;"Missing",'Character Matrix'!$Q$15&lt;&gt;"Conflicting")),OR(NOT(ISNUMBER(SEARCH(", GA,",", "&amp;SUBSTITUTE(SUBSTITUTE(G29,", ",", ")," + ",", ")&amp;", "))),AND('Character Matrix'!$J$16&lt;&gt;"",'Character Matrix'!$Q$16&lt;&gt;"Missing",'Character Matrix'!$Q$16&lt;&gt;"Conflicting")),OR(NOT(ISNUMBER(SEARCH(", SA,",", "&amp;SUBSTITUTE(SUBSTITUTE(G29,", ",", ")," + ",", ")&amp;", "))),AND('Character Matrix'!$J$17&lt;&gt;"",'Character Matrix'!$Q$17&lt;&gt;"Missing",'Character Matrix'!$Q$17&lt;&gt;"Conflicting")),OR(NOT(ISNUMBER(SEARCH(", WA,",", "&amp;SUBSTITUTE(SUBSTITUTE(G29,", ",", ")," + ",", ")&amp;", "))),AND('Character Matrix'!$J$18&lt;&gt;"",'Character Matrix'!$Q$18&lt;&gt;"Missing",'Character Matrix'!$Q$18&lt;&gt;"Conflicting")),OR(NOT(ISNUMBER(SEARCH(", YA,",", "&amp;SUBSTITUTE(SUBSTITUTE(G29,", ",", ")," + ",", ")&amp;", "))),AND('Character Matrix'!$J$19&lt;&gt;"",'Character Matrix'!$Q$19&lt;&gt;"Missing",'Character Matrix'!$Q$19&lt;&gt;"Conflicting")),OR(NOT(ISNUMBER(SEARCH(", DA/RA,",", "&amp;SUBSTITUTE(SUBSTITUTE(G29,", ",", ")," + ",", ")&amp;", "))),AND('Character Matrix'!$J$20&lt;&gt;"",'Character Matrix'!$Q$20&lt;&gt;"Missing",'Character Matrix'!$Q$20&lt;&gt;"Conflicting")),OR(NOT(ISNUMBER(SEARCH(", HA,",", "&amp;SUBSTITUTE(SUBSTITUTE(G29,", ",", ")," + ",", ")&amp;", "))),AND('Character Matrix'!$J$21&lt;&gt;"",'Character Matrix'!$Q$21&lt;&gt;"Missing",'Character Matrix'!$Q$21&lt;&gt;"Conflicting")),OR(NOT(ISNUMBER(SEARCH(", LA,",", "&amp;SUBSTITUTE(SUBSTITUTE(G29,", ",", ")," + ",", ")&amp;", "))),AND('Character Matrix'!$J$22&lt;&gt;"",'Character Matrix'!$Q$22&lt;&gt;"Missing",'Character Matrix'!$Q$22&lt;&gt;"Conflicting")),OR(NOT(ISNUMBER(SEARCH(", NGA,",", "&amp;SUBSTITUTE(SUBSTITUTE(G29,", ",", ")," + ",", ")&amp;", "))),AND('Character Matrix'!$J$23&lt;&gt;"",'Character Matrix'!$Q$23&lt;&gt;"Missing",'Character Matrix'!$Q$23&lt;&gt;"Conflicting")),OR(NOT(ISNUMBER(SEARCH(", PA,",", "&amp;SUBSTITUTE(SUBSTITUTE(G29,", ",", ")," + ",", ")&amp;", "))),AND('Character Matrix'!$J$24&lt;&gt;"",'Character Matrix'!$Q$24&lt;&gt;"Missing",'Character Matrix'!$Q$24&lt;&gt;"Conflicting"))),"PASS","FAIL")</x:f>
        <x:v>PASS</x:v>
      </x:c>
      <x:c r="V29" s="48" t="str">
        <x:f>IF(AND(M29="PASS",Q29="No",R29="No",T29="PASS",U29="PASS",OR(K29="N/A",K29="PASS")),"PASS","FAIL")</x:f>
        <x:v>PASS</x:v>
      </x:c>
    </x:row>
    <x:row r="30" ht="52" customHeight="1">
      <x:c r="A30" s="46" t="n">
        <x:v>12</x:v>
      </x:c>
      <x:c r="B30" s="47" t="str">
        <x:v>Pamana</x:v>
      </x:c>
      <x:c r="C30" s="47" t="n">
        <x:v>2</x:v>
      </x:c>
      <x:c r="D30" s="47" t="n">
        <x:v>1</x:v>
      </x:c>
      <x:c r="E30" s="47" t="str">
        <x:v>HANGA</x:v>
      </x:c>
      <x:c r="F30" s="47" t="str">
        <x:v>HA + NGA</x:v>
      </x:c>
      <x:c r="G30" s="47" t="str">
        <x:v>HA + NGA</x:v>
      </x:c>
      <x:c r="H30" s="47" t="str">
        <x:v>NGA</x:v>
      </x:c>
      <x:c r="I30" s="47" t="str">
        <x:v>NGA</x:v>
      </x:c>
      <x:c r="J30" s="47" t="str"/>
      <x:c r="K30" s="47" t="str">
        <x:f>IF(D30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30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30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30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30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N/A</x:v>
      </x:c>
      <x:c r="L30" s="47" t="str">
        <x:v>A, E/I, BA, MA, NA, TA, O/U, KA, GA, SA, WA, YA, DA/RA, HA, LA, NGA</x:v>
      </x:c>
      <x:c r="M30" s="47" t="str">
        <x:f>IF(AND(LEN(L30)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30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30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30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"&amp;SUBSTITUTE(SUBSTITUTE(G30,", ",", ")," + ",", ")&amp;", "))),ISNUMBER(SEARCH(", A,",", "&amp;SUBSTITUTE(SUBSTITUTE(L30,", ",", ")," + ",", ")&amp;", "))),OR(NOT(ISNUMBER(SEARCH(", E/I,",", "&amp;SUBSTITUTE(SUBSTITUTE(G30,", ",", ")," + ",", ")&amp;", "))),ISNUMBER(SEARCH(", E/I,",", "&amp;SUBSTITUTE(SUBSTITUTE(L30,", ",", ")," + ",", ")&amp;", "))),OR(NOT(ISNUMBER(SEARCH(", BA,",", "&amp;SUBSTITUTE(SUBSTITUTE(G30,", ",", ")," + ",", ")&amp;", "))),ISNUMBER(SEARCH(", BA,",", "&amp;SUBSTITUTE(SUBSTITUTE(L30,", ",", ")," + ",", ")&amp;", "))),OR(NOT(ISNUMBER(SEARCH(", MA,",", "&amp;SUBSTITUTE(SUBSTITUTE(G30,", ",", ")," + ",", ")&amp;", "))),ISNUMBER(SEARCH(", MA,",", "&amp;SUBSTITUTE(SUBSTITUTE(L30,", ",", ")," + ",", ")&amp;", "))),OR(NOT(ISNUMBER(SEARCH(", NA,",", "&amp;SUBSTITUTE(SUBSTITUTE(G30,", ",", ")," + ",", ")&amp;", "))),ISNUMBER(SEARCH(", NA,",", "&amp;SUBSTITUTE(SUBSTITUTE(L30,", ",", ")," + ",", ")&amp;", "))),OR(NOT(ISNUMBER(SEARCH(", TA,",", "&amp;SUBSTITUTE(SUBSTITUTE(G30,", ",", ")," + ",", ")&amp;", "))),ISNUMBER(SEARCH(", TA,",", "&amp;SUBSTITUTE(SUBSTITUTE(L30,", ",", ")," + ",", ")&amp;", "))),OR(NOT(ISNUMBER(SEARCH(", O/U,",", "&amp;SUBSTITUTE(SUBSTITUTE(G30,", ",", ")," + ",", ")&amp;", "))),ISNUMBER(SEARCH(", O/U,",", "&amp;SUBSTITUTE(SUBSTITUTE(L30,", ",", ")," + ",", ")&amp;", "))),OR(NOT(ISNUMBER(SEARCH(", KA,",", "&amp;SUBSTITUTE(SUBSTITUTE(G30,", ",", ")," + ",", ")&amp;", "))),ISNUMBER(SEARCH(", KA,",", "&amp;SUBSTITUTE(SUBSTITUTE(L30,", ",", ")," + ",", ")&amp;", "))),OR(NOT(ISNUMBER(SEARCH(", GA,",", "&amp;SUBSTITUTE(SUBSTITUTE(G30,", ",", ")," + ",", ")&amp;", "))),ISNUMBER(SEARCH(", GA,",", "&amp;SUBSTITUTE(SUBSTITUTE(L30,", ",", ")," + ",", ")&amp;", "))),OR(NOT(ISNUMBER(SEARCH(", SA,",", "&amp;SUBSTITUTE(SUBSTITUTE(G30,", ",", ")," + ",", ")&amp;", "))),ISNUMBER(SEARCH(", SA,",", "&amp;SUBSTITUTE(SUBSTITUTE(L30,", ",", ")," + ",", ")&amp;", "))),OR(NOT(ISNUMBER(SEARCH(", WA,",", "&amp;SUBSTITUTE(SUBSTITUTE(G30,", ",", ")," + ",", ")&amp;", "))),ISNUMBER(SEARCH(", WA,",", "&amp;SUBSTITUTE(SUBSTITUTE(L30,", ",", ")," + ",", ")&amp;", "))),OR(NOT(ISNUMBER(SEARCH(", YA,",", "&amp;SUBSTITUTE(SUBSTITUTE(G30,", ",", ")," + ",", ")&amp;", "))),ISNUMBER(SEARCH(", YA,",", "&amp;SUBSTITUTE(SUBSTITUTE(L30,", ",", ")," + ",", ")&amp;", "))),OR(NOT(ISNUMBER(SEARCH(", DA/RA,",", "&amp;SUBSTITUTE(SUBSTITUTE(G30,", ",", ")," + ",", ")&amp;", "))),ISNUMBER(SEARCH(", DA/RA,",", "&amp;SUBSTITUTE(SUBSTITUTE(L30,", ",", ")," + ",", ")&amp;", "))),OR(NOT(ISNUMBER(SEARCH(", HA,",", "&amp;SUBSTITUTE(SUBSTITUTE(G30,", ",", ")," + ",", ")&amp;", "))),ISNUMBER(SEARCH(", HA,",", "&amp;SUBSTITUTE(SUBSTITUTE(L30,", ",", ")," + ",", ")&amp;", "))),OR(NOT(ISNUMBER(SEARCH(", LA,",", "&amp;SUBSTITUTE(SUBSTITUTE(G30,", ",", ")," + ",", ")&amp;", "))),ISNUMBER(SEARCH(", LA,",", "&amp;SUBSTITUTE(SUBSTITUTE(L30,", ",", ")," + ",", ")&amp;", "))),OR(NOT(ISNUMBER(SEARCH(", NGA,",", "&amp;SUBSTITUTE(SUBSTITUTE(G30,", ",", ")," + ",", ")&amp;", "))),ISNUMBER(SEARCH(", NGA,",", "&amp;SUBSTITUTE(SUBSTITUTE(L30,", ",", ")," + ",", ")&amp;", "))),OR(NOT(ISNUMBER(SEARCH(", PA,",", "&amp;SUBSTITUTE(SUBSTITUTE(G30,", ",", ")," + ",", ")&amp;", "))),ISNUMBER(SEARCH(", PA,",", "&amp;SUBSTITUTE(SUBSTITUTE(L30,", ",", ")," + ",", ")&amp;", "))),OR(NOT(ISNUMBER(SEARCH(", A,",", "&amp;SUBSTITUTE(SUBSTITUTE(L29,", ",", ")," + ",", ")&amp;", "))),ISNUMBER(SEARCH(", A,",", "&amp;SUBSTITUTE(SUBSTITUTE(L30,", ",", ")," + ",", ")&amp;", "))),OR(NOT(ISNUMBER(SEARCH(", E/I,",", "&amp;SUBSTITUTE(SUBSTITUTE(L29,", ",", ")," + ",", ")&amp;", "))),ISNUMBER(SEARCH(", E/I,",", "&amp;SUBSTITUTE(SUBSTITUTE(L30,", ",", ")," + ",", ")&amp;", "))),OR(NOT(ISNUMBER(SEARCH(", BA,",", "&amp;SUBSTITUTE(SUBSTITUTE(L29,", ",", ")," + ",", ")&amp;", "))),ISNUMBER(SEARCH(", BA,",", "&amp;SUBSTITUTE(SUBSTITUTE(L30,", ",", ")," + ",", ")&amp;", "))),OR(NOT(ISNUMBER(SEARCH(", MA,",", "&amp;SUBSTITUTE(SUBSTITUTE(L29,", ",", ")," + ",", ")&amp;", "))),ISNUMBER(SEARCH(", MA,",", "&amp;SUBSTITUTE(SUBSTITUTE(L30,", ",", ")," + ",", ")&amp;", "))),OR(NOT(ISNUMBER(SEARCH(", NA,",", "&amp;SUBSTITUTE(SUBSTITUTE(L29,", ",", ")," + ",", ")&amp;", "))),ISNUMBER(SEARCH(", NA,",", "&amp;SUBSTITUTE(SUBSTITUTE(L30,", ",", ")," + ",", ")&amp;", "))),OR(NOT(ISNUMBER(SEARCH(", TA,",", "&amp;SUBSTITUTE(SUBSTITUTE(L29,", ",", ")," + ",", ")&amp;", "))),ISNUMBER(SEARCH(", TA,",", "&amp;SUBSTITUTE(SUBSTITUTE(L30,", ",", ")," + ",", ")&amp;", "))),OR(NOT(ISNUMBER(SEARCH(", O/U,",", "&amp;SUBSTITUTE(SUBSTITUTE(L29,", ",", ")," + ",", ")&amp;", "))),ISNUMBER(SEARCH(", O/U,",", "&amp;SUBSTITUTE(SUBSTITUTE(L30,", ",", ")," + ",", ")&amp;", "))),OR(NOT(ISNUMBER(SEARCH(", KA,",", "&amp;SUBSTITUTE(SUBSTITUTE(L29,", ",", ")," + ",", ")&amp;", "))),ISNUMBER(SEARCH(", KA,",", "&amp;SUBSTITUTE(SUBSTITUTE(L30,", ",", ")," + ",", ")&amp;", "))),OR(NOT(ISNUMBER(SEARCH(", GA,",", "&amp;SUBSTITUTE(SUBSTITUTE(L29,", ",", ")," + ",", ")&amp;", "))),ISNUMBER(SEARCH(", GA,",", "&amp;SUBSTITUTE(SUBSTITUTE(L30,", ",", ")," + ",", ")&amp;", "))),OR(NOT(ISNUMBER(SEARCH(", SA,",", "&amp;SUBSTITUTE(SUBSTITUTE(L29,", ",", ")," + ",", ")&amp;", "))),ISNUMBER(SEARCH(", SA,",", "&amp;SUBSTITUTE(SUBSTITUTE(L30,", ",", ")," + ",", ")&amp;", "))),OR(NOT(ISNUMBER(SEARCH(", WA,",", "&amp;SUBSTITUTE(SUBSTITUTE(L29,", ",", ")," + ",", ")&amp;", "))),ISNUMBER(SEARCH(", WA,",", "&amp;SUBSTITUTE(SUBSTITUTE(L30,", ",", ")," + ",", ")&amp;", "))),OR(NOT(ISNUMBER(SEARCH(", YA,",", "&amp;SUBSTITUTE(SUBSTITUTE(L29,", ",", ")," + ",", ")&amp;", "))),ISNUMBER(SEARCH(", YA,",", "&amp;SUBSTITUTE(SUBSTITUTE(L30,", ",", ")," + ",", ")&amp;", "))),OR(NOT(ISNUMBER(SEARCH(", DA/RA,",", "&amp;SUBSTITUTE(SUBSTITUTE(L29,", ",", ")," + ",", ")&amp;", "))),ISNUMBER(SEARCH(", DA/RA,",", "&amp;SUBSTITUTE(SUBSTITUTE(L30,", ",", ")," + ",", ")&amp;", "))),OR(NOT(ISNUMBER(SEARCH(", HA,",", "&amp;SUBSTITUTE(SUBSTITUTE(L29,", ",", ")," + ",", ")&amp;", "))),ISNUMBER(SEARCH(", HA,",", "&amp;SUBSTITUTE(SUBSTITUTE(L30,", ",", ")," + ",", ")&amp;", "))),OR(NOT(ISNUMBER(SEARCH(", LA,",", "&amp;SUBSTITUTE(SUBSTITUTE(L29,", ",", ")," + ",", ")&amp;", "))),ISNUMBER(SEARCH(", LA,",", "&amp;SUBSTITUTE(SUBSTITUTE(L30,", ",", ")," + ",", ")&amp;", "))),OR(NOT(ISNUMBER(SEARCH(", NGA,",", "&amp;SUBSTITUTE(SUBSTITUTE(L29,", ",", ")," + ",", ")&amp;", "))),ISNUMBER(SEARCH(", NGA,",", "&amp;SUBSTITUTE(SUBSTITUTE(L30,", ",", ")," + ",", ")&amp;", "))),OR(NOT(ISNUMBER(SEARCH(", PA,",", "&amp;SUBSTITUTE(SUBSTITUTE(L29,", ",", ")," + ",", ")&amp;", "))),ISNUMBER(SEARCH(", PA,",", "&amp;SUBSTITUTE(SUBSTITUTE(L30,", ",", ")," + ",", ")&amp;", ")))),"PASS","FAIL")</x:f>
        <x:v>PASS</x:v>
      </x:c>
      <x:c r="N30" s="47" t="str">
        <x:v>Original</x:v>
      </x:c>
      <x:c r="O30" s="47" t="str"/>
      <x:c r="P30" s="47" t="str">
        <x:v>None</x:v>
      </x:c>
      <x:c r="Q30" s="47" t="str">
        <x:f>IF(OR(ISNUMBER(SEARCH("kudlit",LOWER(E30))),ISNUMBER(SEARCH("ᜒ",E30)),ISNUMBER(SEARCH("ᜓ",E30))),"Yes","No")</x:f>
        <x:v>No</x:v>
      </x:c>
      <x:c r="R30" s="47" t="str">
        <x:f>IF(OR(ISNUMBER(SEARCH("BE",E30)),ISNUMBER(SEARCH("BI",E30)),ISNUMBER(SEARCH("BO",E30)),ISNUMBER(SEARCH("BU",E30)),ISNUMBER(SEARCH("DE",E30)),ISNUMBER(SEARCH("DI",E30)),ISNUMBER(SEARCH("DO",E30)),ISNUMBER(SEARCH("DU",E30)),ISNUMBER(SEARCH("GE",E30)),ISNUMBER(SEARCH("GI",E30)),ISNUMBER(SEARCH("GO",E30)),ISNUMBER(SEARCH("GU",E30)),ISNUMBER(SEARCH("HE",E30)),ISNUMBER(SEARCH("HI",E30)),ISNUMBER(SEARCH("HO",E30)),ISNUMBER(SEARCH("HU",E30)),ISNUMBER(SEARCH("KE",E30)),ISNUMBER(SEARCH("KI",E30)),ISNUMBER(SEARCH("KO",E30)),ISNUMBER(SEARCH("KU",E30)),ISNUMBER(SEARCH("LE",E30)),ISNUMBER(SEARCH("LI",E30)),ISNUMBER(SEARCH("LO",E30)),ISNUMBER(SEARCH("LU",E30)),ISNUMBER(SEARCH("ME",E30)),ISNUMBER(SEARCH("MI",E30)),ISNUMBER(SEARCH("MO",E30)),ISNUMBER(SEARCH("MU",E30)),ISNUMBER(SEARCH("NE",E30)),ISNUMBER(SEARCH("NI",E30)),ISNUMBER(SEARCH("NO",E30)),ISNUMBER(SEARCH("NU",E30)),ISNUMBER(SEARCH("PE",E30)),ISNUMBER(SEARCH("PI",E30)),ISNUMBER(SEARCH("PO",E30)),ISNUMBER(SEARCH("PU",E30)),ISNUMBER(SEARCH("RE",E30)),ISNUMBER(SEARCH("RI",E30)),ISNUMBER(SEARCH("RO",E30)),ISNUMBER(SEARCH("RU",E30)),ISNUMBER(SEARCH("SE",E30)),ISNUMBER(SEARCH("SI",E30)),ISNUMBER(SEARCH("SO",E30)),ISNUMBER(SEARCH("SU",E30)),ISNUMBER(SEARCH("TE",E30)),ISNUMBER(SEARCH("TI",E30)),ISNUMBER(SEARCH("TO",E30)),ISNUMBER(SEARCH("TU",E30)),ISNUMBER(SEARCH("WE",E30)),ISNUMBER(SEARCH("WI",E30)),ISNUMBER(SEARCH("WO",E30)),ISNUMBER(SEARCH("WU",E30)),ISNUMBER(SEARCH("YE",E30)),ISNUMBER(SEARCH("YI",E30)),ISNUMBER(SEARCH("YO",E30)),ISNUMBER(SEARCH("YU",E30))),"Yes","No")</x:f>
        <x:v>No</x:v>
      </x:c>
      <x:c r="S30" s="47" t="str">
        <x:v>Era 3 - Pamana!D16</x:v>
      </x:c>
      <x:c r="T30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30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30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30," + "))=COUNTA(TEXTSPLIT(G30," + "))),"PASS","FAIL")</x:f>
        <x:v>PASS</x:v>
      </x:c>
      <x:c r="U30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30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"&amp;SUBSTITUTE(SUBSTITUTE(G30,", ",", ")," + ",", ")&amp;", "))),AND('Character Matrix'!$J$8&lt;&gt;"",'Character Matrix'!$Q$8&lt;&gt;"Missing",'Character Matrix'!$Q$8&lt;&gt;"Conflicting")),OR(NOT(ISNUMBER(SEARCH(", E/I,",", "&amp;SUBSTITUTE(SUBSTITUTE(G30,", ",", ")," + ",", ")&amp;", "))),AND('Character Matrix'!$J$9&lt;&gt;"",'Character Matrix'!$Q$9&lt;&gt;"Missing",'Character Matrix'!$Q$9&lt;&gt;"Conflicting")),OR(NOT(ISNUMBER(SEARCH(", BA,",", "&amp;SUBSTITUTE(SUBSTITUTE(G30,", ",", ")," + ",", ")&amp;", "))),AND('Character Matrix'!$J$10&lt;&gt;"",'Character Matrix'!$Q$10&lt;&gt;"Missing",'Character Matrix'!$Q$10&lt;&gt;"Conflicting")),OR(NOT(ISNUMBER(SEARCH(", MA,",", "&amp;SUBSTITUTE(SUBSTITUTE(G30,", ",", ")," + ",", ")&amp;", "))),AND('Character Matrix'!$J$11&lt;&gt;"",'Character Matrix'!$Q$11&lt;&gt;"Missing",'Character Matrix'!$Q$11&lt;&gt;"Conflicting")),OR(NOT(ISNUMBER(SEARCH(", NA,",", "&amp;SUBSTITUTE(SUBSTITUTE(G30,", ",", ")," + ",", ")&amp;", "))),AND('Character Matrix'!$J$12&lt;&gt;"",'Character Matrix'!$Q$12&lt;&gt;"Missing",'Character Matrix'!$Q$12&lt;&gt;"Conflicting")),OR(NOT(ISNUMBER(SEARCH(", TA,",", "&amp;SUBSTITUTE(SUBSTITUTE(G30,", ",", ")," + ",", ")&amp;", "))),AND('Character Matrix'!$J$13&lt;&gt;"",'Character Matrix'!$Q$13&lt;&gt;"Missing",'Character Matrix'!$Q$13&lt;&gt;"Conflicting")),OR(NOT(ISNUMBER(SEARCH(", O/U,",", "&amp;SUBSTITUTE(SUBSTITUTE(G30,", ",", ")," + ",", ")&amp;", "))),AND('Character Matrix'!$J$14&lt;&gt;"",'Character Matrix'!$Q$14&lt;&gt;"Missing",'Character Matrix'!$Q$14&lt;&gt;"Conflicting")),OR(NOT(ISNUMBER(SEARCH(", KA,",", "&amp;SUBSTITUTE(SUBSTITUTE(G30,", ",", ")," + ",", ")&amp;", "))),AND('Character Matrix'!$J$15&lt;&gt;"",'Character Matrix'!$Q$15&lt;&gt;"Missing",'Character Matrix'!$Q$15&lt;&gt;"Conflicting")),OR(NOT(ISNUMBER(SEARCH(", GA,",", "&amp;SUBSTITUTE(SUBSTITUTE(G30,", ",", ")," + ",", ")&amp;", "))),AND('Character Matrix'!$J$16&lt;&gt;"",'Character Matrix'!$Q$16&lt;&gt;"Missing",'Character Matrix'!$Q$16&lt;&gt;"Conflicting")),OR(NOT(ISNUMBER(SEARCH(", SA,",", "&amp;SUBSTITUTE(SUBSTITUTE(G30,", ",", ")," + ",", ")&amp;", "))),AND('Character Matrix'!$J$17&lt;&gt;"",'Character Matrix'!$Q$17&lt;&gt;"Missing",'Character Matrix'!$Q$17&lt;&gt;"Conflicting")),OR(NOT(ISNUMBER(SEARCH(", WA,",", "&amp;SUBSTITUTE(SUBSTITUTE(G30,", ",", ")," + ",", ")&amp;", "))),AND('Character Matrix'!$J$18&lt;&gt;"",'Character Matrix'!$Q$18&lt;&gt;"Missing",'Character Matrix'!$Q$18&lt;&gt;"Conflicting")),OR(NOT(ISNUMBER(SEARCH(", YA,",", "&amp;SUBSTITUTE(SUBSTITUTE(G30,", ",", ")," + ",", ")&amp;", "))),AND('Character Matrix'!$J$19&lt;&gt;"",'Character Matrix'!$Q$19&lt;&gt;"Missing",'Character Matrix'!$Q$19&lt;&gt;"Conflicting")),OR(NOT(ISNUMBER(SEARCH(", DA/RA,",", "&amp;SUBSTITUTE(SUBSTITUTE(G30,", ",", ")," + ",", ")&amp;", "))),AND('Character Matrix'!$J$20&lt;&gt;"",'Character Matrix'!$Q$20&lt;&gt;"Missing",'Character Matrix'!$Q$20&lt;&gt;"Conflicting")),OR(NOT(ISNUMBER(SEARCH(", HA,",", "&amp;SUBSTITUTE(SUBSTITUTE(G30,", ",", ")," + ",", ")&amp;", "))),AND('Character Matrix'!$J$21&lt;&gt;"",'Character Matrix'!$Q$21&lt;&gt;"Missing",'Character Matrix'!$Q$21&lt;&gt;"Conflicting")),OR(NOT(ISNUMBER(SEARCH(", LA,",", "&amp;SUBSTITUTE(SUBSTITUTE(G30,", ",", ")," + ",", ")&amp;", "))),AND('Character Matrix'!$J$22&lt;&gt;"",'Character Matrix'!$Q$22&lt;&gt;"Missing",'Character Matrix'!$Q$22&lt;&gt;"Conflicting")),OR(NOT(ISNUMBER(SEARCH(", NGA,",", "&amp;SUBSTITUTE(SUBSTITUTE(G30,", ",", ")," + ",", ")&amp;", "))),AND('Character Matrix'!$J$23&lt;&gt;"",'Character Matrix'!$Q$23&lt;&gt;"Missing",'Character Matrix'!$Q$23&lt;&gt;"Conflicting")),OR(NOT(ISNUMBER(SEARCH(", PA,",", "&amp;SUBSTITUTE(SUBSTITUTE(G30,", ",", ")," + ",", ")&amp;", "))),AND('Character Matrix'!$J$24&lt;&gt;"",'Character Matrix'!$Q$24&lt;&gt;"Missing",'Character Matrix'!$Q$24&lt;&gt;"Conflicting"))),"PASS","FAIL")</x:f>
        <x:v>PASS</x:v>
      </x:c>
      <x:c r="V30" s="48" t="str">
        <x:f>IF(AND(M30="PASS",Q30="No",R30="No",T30="PASS",U30="PASS",OR(K30="N/A",K30="PASS")),"PASS","FAIL")</x:f>
        <x:v>PASS</x:v>
      </x:c>
    </x:row>
    <x:row r="31" ht="52" customHeight="1">
      <x:c r="A31" s="46" t="n">
        <x:v>12</x:v>
      </x:c>
      <x:c r="B31" s="47" t="str">
        <x:v>Pamana</x:v>
      </x:c>
      <x:c r="C31" s="47" t="n">
        <x:v>2</x:v>
      </x:c>
      <x:c r="D31" s="47" t="n">
        <x:v>2</x:v>
      </x:c>
      <x:c r="E31" s="47" t="str">
        <x:v>HALAGA</x:v>
      </x:c>
      <x:c r="F31" s="47" t="str">
        <x:v>HA + LA + GA</x:v>
      </x:c>
      <x:c r="G31" s="47" t="str">
        <x:v>HA + LA + GA</x:v>
      </x:c>
      <x:c r="H31" s="47" t="str">
        <x:v>GA</x:v>
      </x:c>
      <x:c r="I31" s="47" t="str">
        <x:v>GA</x:v>
      </x:c>
      <x:c r="J31" s="47" t="str">
        <x:v>GA</x:v>
      </x:c>
      <x:c r="K31" s="47" t="str">
        <x:f>IF(D31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31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31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31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31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PASS</x:v>
      </x:c>
      <x:c r="L31" s="47" t="str">
        <x:v>A, E/I, BA, MA, NA, TA, O/U, KA, GA, SA, WA, YA, DA/RA, HA, LA, NGA</x:v>
      </x:c>
      <x:c r="M31" s="47" t="str">
        <x:f>IF(AND(LEN(L31)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31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31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31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"&amp;SUBSTITUTE(SUBSTITUTE(G31,", ",", ")," + ",", ")&amp;", "))),ISNUMBER(SEARCH(", A,",", "&amp;SUBSTITUTE(SUBSTITUTE(L31,", ",", ")," + ",", ")&amp;", "))),OR(NOT(ISNUMBER(SEARCH(", E/I,",", "&amp;SUBSTITUTE(SUBSTITUTE(G31,", ",", ")," + ",", ")&amp;", "))),ISNUMBER(SEARCH(", E/I,",", "&amp;SUBSTITUTE(SUBSTITUTE(L31,", ",", ")," + ",", ")&amp;", "))),OR(NOT(ISNUMBER(SEARCH(", BA,",", "&amp;SUBSTITUTE(SUBSTITUTE(G31,", ",", ")," + ",", ")&amp;", "))),ISNUMBER(SEARCH(", BA,",", "&amp;SUBSTITUTE(SUBSTITUTE(L31,", ",", ")," + ",", ")&amp;", "))),OR(NOT(ISNUMBER(SEARCH(", MA,",", "&amp;SUBSTITUTE(SUBSTITUTE(G31,", ",", ")," + ",", ")&amp;", "))),ISNUMBER(SEARCH(", MA,",", "&amp;SUBSTITUTE(SUBSTITUTE(L31,", ",", ")," + ",", ")&amp;", "))),OR(NOT(ISNUMBER(SEARCH(", NA,",", "&amp;SUBSTITUTE(SUBSTITUTE(G31,", ",", ")," + ",", ")&amp;", "))),ISNUMBER(SEARCH(", NA,",", "&amp;SUBSTITUTE(SUBSTITUTE(L31,", ",", ")," + ",", ")&amp;", "))),OR(NOT(ISNUMBER(SEARCH(", TA,",", "&amp;SUBSTITUTE(SUBSTITUTE(G31,", ",", ")," + ",", ")&amp;", "))),ISNUMBER(SEARCH(", TA,",", "&amp;SUBSTITUTE(SUBSTITUTE(L31,", ",", ")," + ",", ")&amp;", "))),OR(NOT(ISNUMBER(SEARCH(", O/U,",", "&amp;SUBSTITUTE(SUBSTITUTE(G31,", ",", ")," + ",", ")&amp;", "))),ISNUMBER(SEARCH(", O/U,",", "&amp;SUBSTITUTE(SUBSTITUTE(L31,", ",", ")," + ",", ")&amp;", "))),OR(NOT(ISNUMBER(SEARCH(", KA,",", "&amp;SUBSTITUTE(SUBSTITUTE(G31,", ",", ")," + ",", ")&amp;", "))),ISNUMBER(SEARCH(", KA,",", "&amp;SUBSTITUTE(SUBSTITUTE(L31,", ",", ")," + ",", ")&amp;", "))),OR(NOT(ISNUMBER(SEARCH(", GA,",", "&amp;SUBSTITUTE(SUBSTITUTE(G31,", ",", ")," + ",", ")&amp;", "))),ISNUMBER(SEARCH(", GA,",", "&amp;SUBSTITUTE(SUBSTITUTE(L31,", ",", ")," + ",", ")&amp;", "))),OR(NOT(ISNUMBER(SEARCH(", SA,",", "&amp;SUBSTITUTE(SUBSTITUTE(G31,", ",", ")," + ",", ")&amp;", "))),ISNUMBER(SEARCH(", SA,",", "&amp;SUBSTITUTE(SUBSTITUTE(L31,", ",", ")," + ",", ")&amp;", "))),OR(NOT(ISNUMBER(SEARCH(", WA,",", "&amp;SUBSTITUTE(SUBSTITUTE(G31,", ",", ")," + ",", ")&amp;", "))),ISNUMBER(SEARCH(", WA,",", "&amp;SUBSTITUTE(SUBSTITUTE(L31,", ",", ")," + ",", ")&amp;", "))),OR(NOT(ISNUMBER(SEARCH(", YA,",", "&amp;SUBSTITUTE(SUBSTITUTE(G31,", ",", ")," + ",", ")&amp;", "))),ISNUMBER(SEARCH(", YA,",", "&amp;SUBSTITUTE(SUBSTITUTE(L31,", ",", ")," + ",", ")&amp;", "))),OR(NOT(ISNUMBER(SEARCH(", DA/RA,",", "&amp;SUBSTITUTE(SUBSTITUTE(G31,", ",", ")," + ",", ")&amp;", "))),ISNUMBER(SEARCH(", DA/RA,",", "&amp;SUBSTITUTE(SUBSTITUTE(L31,", ",", ")," + ",", ")&amp;", "))),OR(NOT(ISNUMBER(SEARCH(", HA,",", "&amp;SUBSTITUTE(SUBSTITUTE(G31,", ",", ")," + ",", ")&amp;", "))),ISNUMBER(SEARCH(", HA,",", "&amp;SUBSTITUTE(SUBSTITUTE(L31,", ",", ")," + ",", ")&amp;", "))),OR(NOT(ISNUMBER(SEARCH(", LA,",", "&amp;SUBSTITUTE(SUBSTITUTE(G31,", ",", ")," + ",", ")&amp;", "))),ISNUMBER(SEARCH(", LA,",", "&amp;SUBSTITUTE(SUBSTITUTE(L31,", ",", ")," + ",", ")&amp;", "))),OR(NOT(ISNUMBER(SEARCH(", NGA,",", "&amp;SUBSTITUTE(SUBSTITUTE(G31,", ",", ")," + ",", ")&amp;", "))),ISNUMBER(SEARCH(", NGA,",", "&amp;SUBSTITUTE(SUBSTITUTE(L31,", ",", ")," + ",", ")&amp;", "))),OR(NOT(ISNUMBER(SEARCH(", PA,",", "&amp;SUBSTITUTE(SUBSTITUTE(G31,", ",", ")," + ",", ")&amp;", "))),ISNUMBER(SEARCH(", PA,",", "&amp;SUBSTITUTE(SUBSTITUTE(L31,", ",", ")," + ",", ")&amp;", "))),OR(NOT(ISNUMBER(SEARCH(", A,",", "&amp;SUBSTITUTE(SUBSTITUTE(L30,", ",", ")," + ",", ")&amp;", "))),ISNUMBER(SEARCH(", A,",", "&amp;SUBSTITUTE(SUBSTITUTE(L31,", ",", ")," + ",", ")&amp;", "))),OR(NOT(ISNUMBER(SEARCH(", E/I,",", "&amp;SUBSTITUTE(SUBSTITUTE(L30,", ",", ")," + ",", ")&amp;", "))),ISNUMBER(SEARCH(", E/I,",", "&amp;SUBSTITUTE(SUBSTITUTE(L31,", ",", ")," + ",", ")&amp;", "))),OR(NOT(ISNUMBER(SEARCH(", BA,",", "&amp;SUBSTITUTE(SUBSTITUTE(L30,", ",", ")," + ",", ")&amp;", "))),ISNUMBER(SEARCH(", BA,",", "&amp;SUBSTITUTE(SUBSTITUTE(L31,", ",", ")," + ",", ")&amp;", "))),OR(NOT(ISNUMBER(SEARCH(", MA,",", "&amp;SUBSTITUTE(SUBSTITUTE(L30,", ",", ")," + ",", ")&amp;", "))),ISNUMBER(SEARCH(", MA,",", "&amp;SUBSTITUTE(SUBSTITUTE(L31,", ",", ")," + ",", ")&amp;", "))),OR(NOT(ISNUMBER(SEARCH(", NA,",", "&amp;SUBSTITUTE(SUBSTITUTE(L30,", ",", ")," + ",", ")&amp;", "))),ISNUMBER(SEARCH(", NA,",", "&amp;SUBSTITUTE(SUBSTITUTE(L31,", ",", ")," + ",", ")&amp;", "))),OR(NOT(ISNUMBER(SEARCH(", TA,",", "&amp;SUBSTITUTE(SUBSTITUTE(L30,", ",", ")," + ",", ")&amp;", "))),ISNUMBER(SEARCH(", TA,",", "&amp;SUBSTITUTE(SUBSTITUTE(L31,", ",", ")," + ",", ")&amp;", "))),OR(NOT(ISNUMBER(SEARCH(", O/U,",", "&amp;SUBSTITUTE(SUBSTITUTE(L30,", ",", ")," + ",", ")&amp;", "))),ISNUMBER(SEARCH(", O/U,",", "&amp;SUBSTITUTE(SUBSTITUTE(L31,", ",", ")," + ",", ")&amp;", "))),OR(NOT(ISNUMBER(SEARCH(", KA,",", "&amp;SUBSTITUTE(SUBSTITUTE(L30,", ",", ")," + ",", ")&amp;", "))),ISNUMBER(SEARCH(", KA,",", "&amp;SUBSTITUTE(SUBSTITUTE(L31,", ",", ")," + ",", ")&amp;", "))),OR(NOT(ISNUMBER(SEARCH(", GA,",", "&amp;SUBSTITUTE(SUBSTITUTE(L30,", ",", ")," + ",", ")&amp;", "))),ISNUMBER(SEARCH(", GA,",", "&amp;SUBSTITUTE(SUBSTITUTE(L31,", ",", ")," + ",", ")&amp;", "))),OR(NOT(ISNUMBER(SEARCH(", SA,",", "&amp;SUBSTITUTE(SUBSTITUTE(L30,", ",", ")," + ",", ")&amp;", "))),ISNUMBER(SEARCH(", SA,",", "&amp;SUBSTITUTE(SUBSTITUTE(L31,", ",", ")," + ",", ")&amp;", "))),OR(NOT(ISNUMBER(SEARCH(", WA,",", "&amp;SUBSTITUTE(SUBSTITUTE(L30,", ",", ")," + ",", ")&amp;", "))),ISNUMBER(SEARCH(", WA,",", "&amp;SUBSTITUTE(SUBSTITUTE(L31,", ",", ")," + ",", ")&amp;", "))),OR(NOT(ISNUMBER(SEARCH(", YA,",", "&amp;SUBSTITUTE(SUBSTITUTE(L30,", ",", ")," + ",", ")&amp;", "))),ISNUMBER(SEARCH(", YA,",", "&amp;SUBSTITUTE(SUBSTITUTE(L31,", ",", ")," + ",", ")&amp;", "))),OR(NOT(ISNUMBER(SEARCH(", DA/RA,",", "&amp;SUBSTITUTE(SUBSTITUTE(L30,", ",", ")," + ",", ")&amp;", "))),ISNUMBER(SEARCH(", DA/RA,",", "&amp;SUBSTITUTE(SUBSTITUTE(L31,", ",", ")," + ",", ")&amp;", "))),OR(NOT(ISNUMBER(SEARCH(", HA,",", "&amp;SUBSTITUTE(SUBSTITUTE(L30,", ",", ")," + ",", ")&amp;", "))),ISNUMBER(SEARCH(", HA,",", "&amp;SUBSTITUTE(SUBSTITUTE(L31,", ",", ")," + ",", ")&amp;", "))),OR(NOT(ISNUMBER(SEARCH(", LA,",", "&amp;SUBSTITUTE(SUBSTITUTE(L30,", ",", ")," + ",", ")&amp;", "))),ISNUMBER(SEARCH(", LA,",", "&amp;SUBSTITUTE(SUBSTITUTE(L31,", ",", ")," + ",", ")&amp;", "))),OR(NOT(ISNUMBER(SEARCH(", NGA,",", "&amp;SUBSTITUTE(SUBSTITUTE(L30,", ",", ")," + ",", ")&amp;", "))),ISNUMBER(SEARCH(", NGA,",", "&amp;SUBSTITUTE(SUBSTITUTE(L31,", ",", ")," + ",", ")&amp;", "))),OR(NOT(ISNUMBER(SEARCH(", PA,",", "&amp;SUBSTITUTE(SUBSTITUTE(L30,", ",", ")," + ",", ")&amp;", "))),ISNUMBER(SEARCH(", PA,",", "&amp;SUBSTITUTE(SUBSTITUTE(L31,", ",", ")," + ",", ")&amp;", ")))),"PASS","FAIL")</x:f>
        <x:v>PASS</x:v>
      </x:c>
      <x:c r="N31" s="47" t="str">
        <x:v>Original</x:v>
      </x:c>
      <x:c r="O31" s="47" t="str"/>
      <x:c r="P31" s="47" t="str">
        <x:v>None</x:v>
      </x:c>
      <x:c r="Q31" s="47" t="str">
        <x:f>IF(OR(ISNUMBER(SEARCH("kudlit",LOWER(E31))),ISNUMBER(SEARCH("ᜒ",E31)),ISNUMBER(SEARCH("ᜓ",E31))),"Yes","No")</x:f>
        <x:v>No</x:v>
      </x:c>
      <x:c r="R31" s="47" t="str">
        <x:f>IF(OR(ISNUMBER(SEARCH("BE",E31)),ISNUMBER(SEARCH("BI",E31)),ISNUMBER(SEARCH("BO",E31)),ISNUMBER(SEARCH("BU",E31)),ISNUMBER(SEARCH("DE",E31)),ISNUMBER(SEARCH("DI",E31)),ISNUMBER(SEARCH("DO",E31)),ISNUMBER(SEARCH("DU",E31)),ISNUMBER(SEARCH("GE",E31)),ISNUMBER(SEARCH("GI",E31)),ISNUMBER(SEARCH("GO",E31)),ISNUMBER(SEARCH("GU",E31)),ISNUMBER(SEARCH("HE",E31)),ISNUMBER(SEARCH("HI",E31)),ISNUMBER(SEARCH("HO",E31)),ISNUMBER(SEARCH("HU",E31)),ISNUMBER(SEARCH("KE",E31)),ISNUMBER(SEARCH("KI",E31)),ISNUMBER(SEARCH("KO",E31)),ISNUMBER(SEARCH("KU",E31)),ISNUMBER(SEARCH("LE",E31)),ISNUMBER(SEARCH("LI",E31)),ISNUMBER(SEARCH("LO",E31)),ISNUMBER(SEARCH("LU",E31)),ISNUMBER(SEARCH("ME",E31)),ISNUMBER(SEARCH("MI",E31)),ISNUMBER(SEARCH("MO",E31)),ISNUMBER(SEARCH("MU",E31)),ISNUMBER(SEARCH("NE",E31)),ISNUMBER(SEARCH("NI",E31)),ISNUMBER(SEARCH("NO",E31)),ISNUMBER(SEARCH("NU",E31)),ISNUMBER(SEARCH("PE",E31)),ISNUMBER(SEARCH("PI",E31)),ISNUMBER(SEARCH("PO",E31)),ISNUMBER(SEARCH("PU",E31)),ISNUMBER(SEARCH("RE",E31)),ISNUMBER(SEARCH("RI",E31)),ISNUMBER(SEARCH("RO",E31)),ISNUMBER(SEARCH("RU",E31)),ISNUMBER(SEARCH("SE",E31)),ISNUMBER(SEARCH("SI",E31)),ISNUMBER(SEARCH("SO",E31)),ISNUMBER(SEARCH("SU",E31)),ISNUMBER(SEARCH("TE",E31)),ISNUMBER(SEARCH("TI",E31)),ISNUMBER(SEARCH("TO",E31)),ISNUMBER(SEARCH("TU",E31)),ISNUMBER(SEARCH("WE",E31)),ISNUMBER(SEARCH("WI",E31)),ISNUMBER(SEARCH("WO",E31)),ISNUMBER(SEARCH("WU",E31)),ISNUMBER(SEARCH("YE",E31)),ISNUMBER(SEARCH("YI",E31)),ISNUMBER(SEARCH("YO",E31)),ISNUMBER(SEARCH("YU",E31))),"Yes","No")</x:f>
        <x:v>No</x:v>
      </x:c>
      <x:c r="S31" s="47" t="str">
        <x:v>Era 3 - Pamana!D16</x:v>
      </x:c>
      <x:c r="T31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31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31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31," + "))=COUNTA(TEXTSPLIT(G31," + "))),"PASS","FAIL")</x:f>
        <x:v>PASS</x:v>
      </x:c>
      <x:c r="U31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31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"&amp;SUBSTITUTE(SUBSTITUTE(G31,", ",", ")," + ",", ")&amp;", "))),AND('Character Matrix'!$J$8&lt;&gt;"",'Character Matrix'!$Q$8&lt;&gt;"Missing",'Character Matrix'!$Q$8&lt;&gt;"Conflicting")),OR(NOT(ISNUMBER(SEARCH(", E/I,",", "&amp;SUBSTITUTE(SUBSTITUTE(G31,", ",", ")," + ",", ")&amp;", "))),AND('Character Matrix'!$J$9&lt;&gt;"",'Character Matrix'!$Q$9&lt;&gt;"Missing",'Character Matrix'!$Q$9&lt;&gt;"Conflicting")),OR(NOT(ISNUMBER(SEARCH(", BA,",", "&amp;SUBSTITUTE(SUBSTITUTE(G31,", ",", ")," + ",", ")&amp;", "))),AND('Character Matrix'!$J$10&lt;&gt;"",'Character Matrix'!$Q$10&lt;&gt;"Missing",'Character Matrix'!$Q$10&lt;&gt;"Conflicting")),OR(NOT(ISNUMBER(SEARCH(", MA,",", "&amp;SUBSTITUTE(SUBSTITUTE(G31,", ",", ")," + ",", ")&amp;", "))),AND('Character Matrix'!$J$11&lt;&gt;"",'Character Matrix'!$Q$11&lt;&gt;"Missing",'Character Matrix'!$Q$11&lt;&gt;"Conflicting")),OR(NOT(ISNUMBER(SEARCH(", NA,",", "&amp;SUBSTITUTE(SUBSTITUTE(G31,", ",", ")," + ",", ")&amp;", "))),AND('Character Matrix'!$J$12&lt;&gt;"",'Character Matrix'!$Q$12&lt;&gt;"Missing",'Character Matrix'!$Q$12&lt;&gt;"Conflicting")),OR(NOT(ISNUMBER(SEARCH(", TA,",", "&amp;SUBSTITUTE(SUBSTITUTE(G31,", ",", ")," + ",", ")&amp;", "))),AND('Character Matrix'!$J$13&lt;&gt;"",'Character Matrix'!$Q$13&lt;&gt;"Missing",'Character Matrix'!$Q$13&lt;&gt;"Conflicting")),OR(NOT(ISNUMBER(SEARCH(", O/U,",", "&amp;SUBSTITUTE(SUBSTITUTE(G31,", ",", ")," + ",", ")&amp;", "))),AND('Character Matrix'!$J$14&lt;&gt;"",'Character Matrix'!$Q$14&lt;&gt;"Missing",'Character Matrix'!$Q$14&lt;&gt;"Conflicting")),OR(NOT(ISNUMBER(SEARCH(", KA,",", "&amp;SUBSTITUTE(SUBSTITUTE(G31,", ",", ")," + ",", ")&amp;", "))),AND('Character Matrix'!$J$15&lt;&gt;"",'Character Matrix'!$Q$15&lt;&gt;"Missing",'Character Matrix'!$Q$15&lt;&gt;"Conflicting")),OR(NOT(ISNUMBER(SEARCH(", GA,",", "&amp;SUBSTITUTE(SUBSTITUTE(G31,", ",", ")," + ",", ")&amp;", "))),AND('Character Matrix'!$J$16&lt;&gt;"",'Character Matrix'!$Q$16&lt;&gt;"Missing",'Character Matrix'!$Q$16&lt;&gt;"Conflicting")),OR(NOT(ISNUMBER(SEARCH(", SA,",", "&amp;SUBSTITUTE(SUBSTITUTE(G31,", ",", ")," + ",", ")&amp;", "))),AND('Character Matrix'!$J$17&lt;&gt;"",'Character Matrix'!$Q$17&lt;&gt;"Missing",'Character Matrix'!$Q$17&lt;&gt;"Conflicting")),OR(NOT(ISNUMBER(SEARCH(", WA,",", "&amp;SUBSTITUTE(SUBSTITUTE(G31,", ",", ")," + ",", ")&amp;", "))),AND('Character Matrix'!$J$18&lt;&gt;"",'Character Matrix'!$Q$18&lt;&gt;"Missing",'Character Matrix'!$Q$18&lt;&gt;"Conflicting")),OR(NOT(ISNUMBER(SEARCH(", YA,",", "&amp;SUBSTITUTE(SUBSTITUTE(G31,", ",", ")," + ",", ")&amp;", "))),AND('Character Matrix'!$J$19&lt;&gt;"",'Character Matrix'!$Q$19&lt;&gt;"Missing",'Character Matrix'!$Q$19&lt;&gt;"Conflicting")),OR(NOT(ISNUMBER(SEARCH(", DA/RA,",", "&amp;SUBSTITUTE(SUBSTITUTE(G31,", ",", ")," + ",", ")&amp;", "))),AND('Character Matrix'!$J$20&lt;&gt;"",'Character Matrix'!$Q$20&lt;&gt;"Missing",'Character Matrix'!$Q$20&lt;&gt;"Conflicting")),OR(NOT(ISNUMBER(SEARCH(", HA,",", "&amp;SUBSTITUTE(SUBSTITUTE(G31,", ",", ")," + ",", ")&amp;", "))),AND('Character Matrix'!$J$21&lt;&gt;"",'Character Matrix'!$Q$21&lt;&gt;"Missing",'Character Matrix'!$Q$21&lt;&gt;"Conflicting")),OR(NOT(ISNUMBER(SEARCH(", LA,",", "&amp;SUBSTITUTE(SUBSTITUTE(G31,", ",", ")," + ",", ")&amp;", "))),AND('Character Matrix'!$J$22&lt;&gt;"",'Character Matrix'!$Q$22&lt;&gt;"Missing",'Character Matrix'!$Q$22&lt;&gt;"Conflicting")),OR(NOT(ISNUMBER(SEARCH(", NGA,",", "&amp;SUBSTITUTE(SUBSTITUTE(G31,", ",", ")," + ",", ")&amp;", "))),AND('Character Matrix'!$J$23&lt;&gt;"",'Character Matrix'!$Q$23&lt;&gt;"Missing",'Character Matrix'!$Q$23&lt;&gt;"Conflicting")),OR(NOT(ISNUMBER(SEARCH(", PA,",", "&amp;SUBSTITUTE(SUBSTITUTE(G31,", ",", ")," + ",", ")&amp;", "))),AND('Character Matrix'!$J$24&lt;&gt;"",'Character Matrix'!$Q$24&lt;&gt;"Missing",'Character Matrix'!$Q$24&lt;&gt;"Conflicting"))),"PASS","FAIL")</x:f>
        <x:v>PASS</x:v>
      </x:c>
      <x:c r="V31" s="48" t="str">
        <x:f>IF(AND(M31="PASS",Q31="No",R31="No",T31="PASS",U31="PASS",OR(K31="N/A",K31="PASS")),"PASS","FAIL")</x:f>
        <x:v>PASS</x:v>
      </x:c>
    </x:row>
    <x:row r="32" ht="52" customHeight="1">
      <x:c r="A32" s="46" t="n">
        <x:v>13</x:v>
      </x:c>
      <x:c r="B32" s="47" t="str">
        <x:v>Pamana</x:v>
      </x:c>
      <x:c r="C32" s="47" t="n">
        <x:v>3</x:v>
      </x:c>
      <x:c r="D32" s="47" t="n">
        <x:v>1</x:v>
      </x:c>
      <x:c r="E32" s="47" t="str">
        <x:v>SANGA</x:v>
      </x:c>
      <x:c r="F32" s="47" t="str">
        <x:v>SA + NGA</x:v>
      </x:c>
      <x:c r="G32" s="47" t="str">
        <x:v>SA + NGA</x:v>
      </x:c>
      <x:c r="H32" s="47" t="str">
        <x:v>NGA</x:v>
      </x:c>
      <x:c r="I32" s="47" t="str">
        <x:v>NGA</x:v>
      </x:c>
      <x:c r="J32" s="47" t="str"/>
      <x:c r="K32" s="47" t="str">
        <x:f>IF(D32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32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32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32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32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N/A</x:v>
      </x:c>
      <x:c r="L32" s="47" t="str">
        <x:v>A, E/I, BA, MA, NA, TA, O/U, KA, GA, SA, WA, YA, DA/RA, HA, LA, NGA</x:v>
      </x:c>
      <x:c r="M32" s="47" t="str">
        <x:f>IF(AND(LEN(L32)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32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32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32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"&amp;SUBSTITUTE(SUBSTITUTE(G32,", ",", ")," + ",", ")&amp;", "))),ISNUMBER(SEARCH(", A,",", "&amp;SUBSTITUTE(SUBSTITUTE(L32,", ",", ")," + ",", ")&amp;", "))),OR(NOT(ISNUMBER(SEARCH(", E/I,",", "&amp;SUBSTITUTE(SUBSTITUTE(G32,", ",", ")," + ",", ")&amp;", "))),ISNUMBER(SEARCH(", E/I,",", "&amp;SUBSTITUTE(SUBSTITUTE(L32,", ",", ")," + ",", ")&amp;", "))),OR(NOT(ISNUMBER(SEARCH(", BA,",", "&amp;SUBSTITUTE(SUBSTITUTE(G32,", ",", ")," + ",", ")&amp;", "))),ISNUMBER(SEARCH(", BA,",", "&amp;SUBSTITUTE(SUBSTITUTE(L32,", ",", ")," + ",", ")&amp;", "))),OR(NOT(ISNUMBER(SEARCH(", MA,",", "&amp;SUBSTITUTE(SUBSTITUTE(G32,", ",", ")," + ",", ")&amp;", "))),ISNUMBER(SEARCH(", MA,",", "&amp;SUBSTITUTE(SUBSTITUTE(L32,", ",", ")," + ",", ")&amp;", "))),OR(NOT(ISNUMBER(SEARCH(", NA,",", "&amp;SUBSTITUTE(SUBSTITUTE(G32,", ",", ")," + ",", ")&amp;", "))),ISNUMBER(SEARCH(", NA,",", "&amp;SUBSTITUTE(SUBSTITUTE(L32,", ",", ")," + ",", ")&amp;", "))),OR(NOT(ISNUMBER(SEARCH(", TA,",", "&amp;SUBSTITUTE(SUBSTITUTE(G32,", ",", ")," + ",", ")&amp;", "))),ISNUMBER(SEARCH(", TA,",", "&amp;SUBSTITUTE(SUBSTITUTE(L32,", ",", ")," + ",", ")&amp;", "))),OR(NOT(ISNUMBER(SEARCH(", O/U,",", "&amp;SUBSTITUTE(SUBSTITUTE(G32,", ",", ")," + ",", ")&amp;", "))),ISNUMBER(SEARCH(", O/U,",", "&amp;SUBSTITUTE(SUBSTITUTE(L32,", ",", ")," + ",", ")&amp;", "))),OR(NOT(ISNUMBER(SEARCH(", KA,",", "&amp;SUBSTITUTE(SUBSTITUTE(G32,", ",", ")," + ",", ")&amp;", "))),ISNUMBER(SEARCH(", KA,",", "&amp;SUBSTITUTE(SUBSTITUTE(L32,", ",", ")," + ",", ")&amp;", "))),OR(NOT(ISNUMBER(SEARCH(", GA,",", "&amp;SUBSTITUTE(SUBSTITUTE(G32,", ",", ")," + ",", ")&amp;", "))),ISNUMBER(SEARCH(", GA,",", "&amp;SUBSTITUTE(SUBSTITUTE(L32,", ",", ")," + ",", ")&amp;", "))),OR(NOT(ISNUMBER(SEARCH(", SA,",", "&amp;SUBSTITUTE(SUBSTITUTE(G32,", ",", ")," + ",", ")&amp;", "))),ISNUMBER(SEARCH(", SA,",", "&amp;SUBSTITUTE(SUBSTITUTE(L32,", ",", ")," + ",", ")&amp;", "))),OR(NOT(ISNUMBER(SEARCH(", WA,",", "&amp;SUBSTITUTE(SUBSTITUTE(G32,", ",", ")," + ",", ")&amp;", "))),ISNUMBER(SEARCH(", WA,",", "&amp;SUBSTITUTE(SUBSTITUTE(L32,", ",", ")," + ",", ")&amp;", "))),OR(NOT(ISNUMBER(SEARCH(", YA,",", "&amp;SUBSTITUTE(SUBSTITUTE(G32,", ",", ")," + ",", ")&amp;", "))),ISNUMBER(SEARCH(", YA,",", "&amp;SUBSTITUTE(SUBSTITUTE(L32,", ",", ")," + ",", ")&amp;", "))),OR(NOT(ISNUMBER(SEARCH(", DA/RA,",", "&amp;SUBSTITUTE(SUBSTITUTE(G32,", ",", ")," + ",", ")&amp;", "))),ISNUMBER(SEARCH(", DA/RA,",", "&amp;SUBSTITUTE(SUBSTITUTE(L32,", ",", ")," + ",", ")&amp;", "))),OR(NOT(ISNUMBER(SEARCH(", HA,",", "&amp;SUBSTITUTE(SUBSTITUTE(G32,", ",", ")," + ",", ")&amp;", "))),ISNUMBER(SEARCH(", HA,",", "&amp;SUBSTITUTE(SUBSTITUTE(L32,", ",", ")," + ",", ")&amp;", "))),OR(NOT(ISNUMBER(SEARCH(", LA,",", "&amp;SUBSTITUTE(SUBSTITUTE(G32,", ",", ")," + ",", ")&amp;", "))),ISNUMBER(SEARCH(", LA,",", "&amp;SUBSTITUTE(SUBSTITUTE(L32,", ",", ")," + ",", ")&amp;", "))),OR(NOT(ISNUMBER(SEARCH(", NGA,",", "&amp;SUBSTITUTE(SUBSTITUTE(G32,", ",", ")," + ",", ")&amp;", "))),ISNUMBER(SEARCH(", NGA,",", "&amp;SUBSTITUTE(SUBSTITUTE(L32,", ",", ")," + ",", ")&amp;", "))),OR(NOT(ISNUMBER(SEARCH(", PA,",", "&amp;SUBSTITUTE(SUBSTITUTE(G32,", ",", ")," + ",", ")&amp;", "))),ISNUMBER(SEARCH(", PA,",", "&amp;SUBSTITUTE(SUBSTITUTE(L32,", ",", ")," + ",", ")&amp;", "))),OR(NOT(ISNUMBER(SEARCH(", A,",", "&amp;SUBSTITUTE(SUBSTITUTE(L31,", ",", ")," + ",", ")&amp;", "))),ISNUMBER(SEARCH(", A,",", "&amp;SUBSTITUTE(SUBSTITUTE(L32,", ",", ")," + ",", ")&amp;", "))),OR(NOT(ISNUMBER(SEARCH(", E/I,",", "&amp;SUBSTITUTE(SUBSTITUTE(L31,", ",", ")," + ",", ")&amp;", "))),ISNUMBER(SEARCH(", E/I,",", "&amp;SUBSTITUTE(SUBSTITUTE(L32,", ",", ")," + ",", ")&amp;", "))),OR(NOT(ISNUMBER(SEARCH(", BA,",", "&amp;SUBSTITUTE(SUBSTITUTE(L31,", ",", ")," + ",", ")&amp;", "))),ISNUMBER(SEARCH(", BA,",", "&amp;SUBSTITUTE(SUBSTITUTE(L32,", ",", ")," + ",", ")&amp;", "))),OR(NOT(ISNUMBER(SEARCH(", MA,",", "&amp;SUBSTITUTE(SUBSTITUTE(L31,", ",", ")," + ",", ")&amp;", "))),ISNUMBER(SEARCH(", MA,",", "&amp;SUBSTITUTE(SUBSTITUTE(L32,", ",", ")," + ",", ")&amp;", "))),OR(NOT(ISNUMBER(SEARCH(", NA,",", "&amp;SUBSTITUTE(SUBSTITUTE(L31,", ",", ")," + ",", ")&amp;", "))),ISNUMBER(SEARCH(", NA,",", "&amp;SUBSTITUTE(SUBSTITUTE(L32,", ",", ")," + ",", ")&amp;", "))),OR(NOT(ISNUMBER(SEARCH(", TA,",", "&amp;SUBSTITUTE(SUBSTITUTE(L31,", ",", ")," + ",", ")&amp;", "))),ISNUMBER(SEARCH(", TA,",", "&amp;SUBSTITUTE(SUBSTITUTE(L32,", ",", ")," + ",", ")&amp;", "))),OR(NOT(ISNUMBER(SEARCH(", O/U,",", "&amp;SUBSTITUTE(SUBSTITUTE(L31,", ",", ")," + ",", ")&amp;", "))),ISNUMBER(SEARCH(", O/U,",", "&amp;SUBSTITUTE(SUBSTITUTE(L32,", ",", ")," + ",", ")&amp;", "))),OR(NOT(ISNUMBER(SEARCH(", KA,",", "&amp;SUBSTITUTE(SUBSTITUTE(L31,", ",", ")," + ",", ")&amp;", "))),ISNUMBER(SEARCH(", KA,",", "&amp;SUBSTITUTE(SUBSTITUTE(L32,", ",", ")," + ",", ")&amp;", "))),OR(NOT(ISNUMBER(SEARCH(", GA,",", "&amp;SUBSTITUTE(SUBSTITUTE(L31,", ",", ")," + ",", ")&amp;", "))),ISNUMBER(SEARCH(", GA,",", "&amp;SUBSTITUTE(SUBSTITUTE(L32,", ",", ")," + ",", ")&amp;", "))),OR(NOT(ISNUMBER(SEARCH(", SA,",", "&amp;SUBSTITUTE(SUBSTITUTE(L31,", ",", ")," + ",", ")&amp;", "))),ISNUMBER(SEARCH(", SA,",", "&amp;SUBSTITUTE(SUBSTITUTE(L32,", ",", ")," + ",", ")&amp;", "))),OR(NOT(ISNUMBER(SEARCH(", WA,",", "&amp;SUBSTITUTE(SUBSTITUTE(L31,", ",", ")," + ",", ")&amp;", "))),ISNUMBER(SEARCH(", WA,",", "&amp;SUBSTITUTE(SUBSTITUTE(L32,", ",", ")," + ",", ")&amp;", "))),OR(NOT(ISNUMBER(SEARCH(", YA,",", "&amp;SUBSTITUTE(SUBSTITUTE(L31,", ",", ")," + ",", ")&amp;", "))),ISNUMBER(SEARCH(", YA,",", "&amp;SUBSTITUTE(SUBSTITUTE(L32,", ",", ")," + ",", ")&amp;", "))),OR(NOT(ISNUMBER(SEARCH(", DA/RA,",", "&amp;SUBSTITUTE(SUBSTITUTE(L31,", ",", ")," + ",", ")&amp;", "))),ISNUMBER(SEARCH(", DA/RA,",", "&amp;SUBSTITUTE(SUBSTITUTE(L32,", ",", ")," + ",", ")&amp;", "))),OR(NOT(ISNUMBER(SEARCH(", HA,",", "&amp;SUBSTITUTE(SUBSTITUTE(L31,", ",", ")," + ",", ")&amp;", "))),ISNUMBER(SEARCH(", HA,",", "&amp;SUBSTITUTE(SUBSTITUTE(L32,", ",", ")," + ",", ")&amp;", "))),OR(NOT(ISNUMBER(SEARCH(", LA,",", "&amp;SUBSTITUTE(SUBSTITUTE(L31,", ",", ")," + ",", ")&amp;", "))),ISNUMBER(SEARCH(", LA,",", "&amp;SUBSTITUTE(SUBSTITUTE(L32,", ",", ")," + ",", ")&amp;", "))),OR(NOT(ISNUMBER(SEARCH(", NGA,",", "&amp;SUBSTITUTE(SUBSTITUTE(L31,", ",", ")," + ",", ")&amp;", "))),ISNUMBER(SEARCH(", NGA,",", "&amp;SUBSTITUTE(SUBSTITUTE(L32,", ",", ")," + ",", ")&amp;", "))),OR(NOT(ISNUMBER(SEARCH(", PA,",", "&amp;SUBSTITUTE(SUBSTITUTE(L31,", ",", ")," + ",", ")&amp;", "))),ISNUMBER(SEARCH(", PA,",", "&amp;SUBSTITUTE(SUBSTITUTE(L32,", ",", ")," + ",", ")&amp;", ")))),"PASS","FAIL")</x:f>
        <x:v>PASS</x:v>
      </x:c>
      <x:c r="N32" s="47" t="str">
        <x:v>Original</x:v>
      </x:c>
      <x:c r="O32" s="47" t="str"/>
      <x:c r="P32" s="47" t="str">
        <x:v>None</x:v>
      </x:c>
      <x:c r="Q32" s="47" t="str">
        <x:f>IF(OR(ISNUMBER(SEARCH("kudlit",LOWER(E32))),ISNUMBER(SEARCH("ᜒ",E32)),ISNUMBER(SEARCH("ᜓ",E32))),"Yes","No")</x:f>
        <x:v>No</x:v>
      </x:c>
      <x:c r="R32" s="47" t="str">
        <x:f>IF(OR(ISNUMBER(SEARCH("BE",E32)),ISNUMBER(SEARCH("BI",E32)),ISNUMBER(SEARCH("BO",E32)),ISNUMBER(SEARCH("BU",E32)),ISNUMBER(SEARCH("DE",E32)),ISNUMBER(SEARCH("DI",E32)),ISNUMBER(SEARCH("DO",E32)),ISNUMBER(SEARCH("DU",E32)),ISNUMBER(SEARCH("GE",E32)),ISNUMBER(SEARCH("GI",E32)),ISNUMBER(SEARCH("GO",E32)),ISNUMBER(SEARCH("GU",E32)),ISNUMBER(SEARCH("HE",E32)),ISNUMBER(SEARCH("HI",E32)),ISNUMBER(SEARCH("HO",E32)),ISNUMBER(SEARCH("HU",E32)),ISNUMBER(SEARCH("KE",E32)),ISNUMBER(SEARCH("KI",E32)),ISNUMBER(SEARCH("KO",E32)),ISNUMBER(SEARCH("KU",E32)),ISNUMBER(SEARCH("LE",E32)),ISNUMBER(SEARCH("LI",E32)),ISNUMBER(SEARCH("LO",E32)),ISNUMBER(SEARCH("LU",E32)),ISNUMBER(SEARCH("ME",E32)),ISNUMBER(SEARCH("MI",E32)),ISNUMBER(SEARCH("MO",E32)),ISNUMBER(SEARCH("MU",E32)),ISNUMBER(SEARCH("NE",E32)),ISNUMBER(SEARCH("NI",E32)),ISNUMBER(SEARCH("NO",E32)),ISNUMBER(SEARCH("NU",E32)),ISNUMBER(SEARCH("PE",E32)),ISNUMBER(SEARCH("PI",E32)),ISNUMBER(SEARCH("PO",E32)),ISNUMBER(SEARCH("PU",E32)),ISNUMBER(SEARCH("RE",E32)),ISNUMBER(SEARCH("RI",E32)),ISNUMBER(SEARCH("RO",E32)),ISNUMBER(SEARCH("RU",E32)),ISNUMBER(SEARCH("SE",E32)),ISNUMBER(SEARCH("SI",E32)),ISNUMBER(SEARCH("SO",E32)),ISNUMBER(SEARCH("SU",E32)),ISNUMBER(SEARCH("TE",E32)),ISNUMBER(SEARCH("TI",E32)),ISNUMBER(SEARCH("TO",E32)),ISNUMBER(SEARCH("TU",E32)),ISNUMBER(SEARCH("WE",E32)),ISNUMBER(SEARCH("WI",E32)),ISNUMBER(SEARCH("WO",E32)),ISNUMBER(SEARCH("WU",E32)),ISNUMBER(SEARCH("YE",E32)),ISNUMBER(SEARCH("YI",E32)),ISNUMBER(SEARCH("YO",E32)),ISNUMBER(SEARCH("YU",E32))),"Yes","No")</x:f>
        <x:v>No</x:v>
      </x:c>
      <x:c r="S32" s="47" t="str">
        <x:v>Era 3 - Pamana!D17</x:v>
      </x:c>
      <x:c r="T32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32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32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32," + "))=COUNTA(TEXTSPLIT(G32," + "))),"PASS","FAIL")</x:f>
        <x:v>PASS</x:v>
      </x:c>
      <x:c r="U32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32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"&amp;SUBSTITUTE(SUBSTITUTE(G32,", ",", ")," + ",", ")&amp;", "))),AND('Character Matrix'!$J$8&lt;&gt;"",'Character Matrix'!$Q$8&lt;&gt;"Missing",'Character Matrix'!$Q$8&lt;&gt;"Conflicting")),OR(NOT(ISNUMBER(SEARCH(", E/I,",", "&amp;SUBSTITUTE(SUBSTITUTE(G32,", ",", ")," + ",", ")&amp;", "))),AND('Character Matrix'!$J$9&lt;&gt;"",'Character Matrix'!$Q$9&lt;&gt;"Missing",'Character Matrix'!$Q$9&lt;&gt;"Conflicting")),OR(NOT(ISNUMBER(SEARCH(", BA,",", "&amp;SUBSTITUTE(SUBSTITUTE(G32,", ",", ")," + ",", ")&amp;", "))),AND('Character Matrix'!$J$10&lt;&gt;"",'Character Matrix'!$Q$10&lt;&gt;"Missing",'Character Matrix'!$Q$10&lt;&gt;"Conflicting")),OR(NOT(ISNUMBER(SEARCH(", MA,",", "&amp;SUBSTITUTE(SUBSTITUTE(G32,", ",", ")," + ",", ")&amp;", "))),AND('Character Matrix'!$J$11&lt;&gt;"",'Character Matrix'!$Q$11&lt;&gt;"Missing",'Character Matrix'!$Q$11&lt;&gt;"Conflicting")),OR(NOT(ISNUMBER(SEARCH(", NA,",", "&amp;SUBSTITUTE(SUBSTITUTE(G32,", ",", ")," + ",", ")&amp;", "))),AND('Character Matrix'!$J$12&lt;&gt;"",'Character Matrix'!$Q$12&lt;&gt;"Missing",'Character Matrix'!$Q$12&lt;&gt;"Conflicting")),OR(NOT(ISNUMBER(SEARCH(", TA,",", "&amp;SUBSTITUTE(SUBSTITUTE(G32,", ",", ")," + ",", ")&amp;", "))),AND('Character Matrix'!$J$13&lt;&gt;"",'Character Matrix'!$Q$13&lt;&gt;"Missing",'Character Matrix'!$Q$13&lt;&gt;"Conflicting")),OR(NOT(ISNUMBER(SEARCH(", O/U,",", "&amp;SUBSTITUTE(SUBSTITUTE(G32,", ",", ")," + ",", ")&amp;", "))),AND('Character Matrix'!$J$14&lt;&gt;"",'Character Matrix'!$Q$14&lt;&gt;"Missing",'Character Matrix'!$Q$14&lt;&gt;"Conflicting")),OR(NOT(ISNUMBER(SEARCH(", KA,",", "&amp;SUBSTITUTE(SUBSTITUTE(G32,", ",", ")," + ",", ")&amp;", "))),AND('Character Matrix'!$J$15&lt;&gt;"",'Character Matrix'!$Q$15&lt;&gt;"Missing",'Character Matrix'!$Q$15&lt;&gt;"Conflicting")),OR(NOT(ISNUMBER(SEARCH(", GA,",", "&amp;SUBSTITUTE(SUBSTITUTE(G32,", ",", ")," + ",", ")&amp;", "))),AND('Character Matrix'!$J$16&lt;&gt;"",'Character Matrix'!$Q$16&lt;&gt;"Missing",'Character Matrix'!$Q$16&lt;&gt;"Conflicting")),OR(NOT(ISNUMBER(SEARCH(", SA,",", "&amp;SUBSTITUTE(SUBSTITUTE(G32,", ",", ")," + ",", ")&amp;", "))),AND('Character Matrix'!$J$17&lt;&gt;"",'Character Matrix'!$Q$17&lt;&gt;"Missing",'Character Matrix'!$Q$17&lt;&gt;"Conflicting")),OR(NOT(ISNUMBER(SEARCH(", WA,",", "&amp;SUBSTITUTE(SUBSTITUTE(G32,", ",", ")," + ",", ")&amp;", "))),AND('Character Matrix'!$J$18&lt;&gt;"",'Character Matrix'!$Q$18&lt;&gt;"Missing",'Character Matrix'!$Q$18&lt;&gt;"Conflicting")),OR(NOT(ISNUMBER(SEARCH(", YA,",", "&amp;SUBSTITUTE(SUBSTITUTE(G32,", ",", ")," + ",", ")&amp;", "))),AND('Character Matrix'!$J$19&lt;&gt;"",'Character Matrix'!$Q$19&lt;&gt;"Missing",'Character Matrix'!$Q$19&lt;&gt;"Conflicting")),OR(NOT(ISNUMBER(SEARCH(", DA/RA,",", "&amp;SUBSTITUTE(SUBSTITUTE(G32,", ",", ")," + ",", ")&amp;", "))),AND('Character Matrix'!$J$20&lt;&gt;"",'Character Matrix'!$Q$20&lt;&gt;"Missing",'Character Matrix'!$Q$20&lt;&gt;"Conflicting")),OR(NOT(ISNUMBER(SEARCH(", HA,",", "&amp;SUBSTITUTE(SUBSTITUTE(G32,", ",", ")," + ",", ")&amp;", "))),AND('Character Matrix'!$J$21&lt;&gt;"",'Character Matrix'!$Q$21&lt;&gt;"Missing",'Character Matrix'!$Q$21&lt;&gt;"Conflicting")),OR(NOT(ISNUMBER(SEARCH(", LA,",", "&amp;SUBSTITUTE(SUBSTITUTE(G32,", ",", ")," + ",", ")&amp;", "))),AND('Character Matrix'!$J$22&lt;&gt;"",'Character Matrix'!$Q$22&lt;&gt;"Missing",'Character Matrix'!$Q$22&lt;&gt;"Conflicting")),OR(NOT(ISNUMBER(SEARCH(", NGA,",", "&amp;SUBSTITUTE(SUBSTITUTE(G32,", ",", ")," + ",", ")&amp;", "))),AND('Character Matrix'!$J$23&lt;&gt;"",'Character Matrix'!$Q$23&lt;&gt;"Missing",'Character Matrix'!$Q$23&lt;&gt;"Conflicting")),OR(NOT(ISNUMBER(SEARCH(", PA,",", "&amp;SUBSTITUTE(SUBSTITUTE(G32,", ",", ")," + ",", ")&amp;", "))),AND('Character Matrix'!$J$24&lt;&gt;"",'Character Matrix'!$Q$24&lt;&gt;"Missing",'Character Matrix'!$Q$24&lt;&gt;"Conflicting"))),"PASS","FAIL")</x:f>
        <x:v>PASS</x:v>
      </x:c>
      <x:c r="V32" s="48" t="str">
        <x:f>IF(AND(M32="PASS",Q32="No",R32="No",T32="PASS",U32="PASS",OR(K32="N/A",K32="PASS")),"PASS","FAIL")</x:f>
        <x:v>PASS</x:v>
      </x:c>
    </x:row>
    <x:row r="33" ht="52" customHeight="1">
      <x:c r="A33" s="46" t="n">
        <x:v>13</x:v>
      </x:c>
      <x:c r="B33" s="47" t="str">
        <x:v>Pamana</x:v>
      </x:c>
      <x:c r="C33" s="47" t="n">
        <x:v>3</x:v>
      </x:c>
      <x:c r="D33" s="47" t="n">
        <x:v>2</x:v>
      </x:c>
      <x:c r="E33" s="47" t="str">
        <x:v>HARAYA</x:v>
      </x:c>
      <x:c r="F33" s="47" t="str">
        <x:v>HA + RA + YA</x:v>
      </x:c>
      <x:c r="G33" s="47" t="str">
        <x:v>HA + DA/RA + YA</x:v>
      </x:c>
      <x:c r="H33" s="47" t="str">
        <x:v>YA</x:v>
      </x:c>
      <x:c r="I33" s="47" t="str">
        <x:v>YA</x:v>
      </x:c>
      <x:c r="J33" s="47" t="str">
        <x:v>YA</x:v>
      </x:c>
      <x:c r="K33" s="47" t="str">
        <x:f>IF(D33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33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33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33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33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PASS</x:v>
      </x:c>
      <x:c r="L33" s="47" t="str">
        <x:v>A, E/I, BA, MA, NA, TA, O/U, KA, GA, SA, WA, YA, DA/RA, HA, LA, NGA</x:v>
      </x:c>
      <x:c r="M33" s="47" t="str">
        <x:f>IF(AND(LEN(L33)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33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33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33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"&amp;SUBSTITUTE(SUBSTITUTE(G33,", ",", ")," + ",", ")&amp;", "))),ISNUMBER(SEARCH(", A,",", "&amp;SUBSTITUTE(SUBSTITUTE(L33,", ",", ")," + ",", ")&amp;", "))),OR(NOT(ISNUMBER(SEARCH(", E/I,",", "&amp;SUBSTITUTE(SUBSTITUTE(G33,", ",", ")," + ",", ")&amp;", "))),ISNUMBER(SEARCH(", E/I,",", "&amp;SUBSTITUTE(SUBSTITUTE(L33,", ",", ")," + ",", ")&amp;", "))),OR(NOT(ISNUMBER(SEARCH(", BA,",", "&amp;SUBSTITUTE(SUBSTITUTE(G33,", ",", ")," + ",", ")&amp;", "))),ISNUMBER(SEARCH(", BA,",", "&amp;SUBSTITUTE(SUBSTITUTE(L33,", ",", ")," + ",", ")&amp;", "))),OR(NOT(ISNUMBER(SEARCH(", MA,",", "&amp;SUBSTITUTE(SUBSTITUTE(G33,", ",", ")," + ",", ")&amp;", "))),ISNUMBER(SEARCH(", MA,",", "&amp;SUBSTITUTE(SUBSTITUTE(L33,", ",", ")," + ",", ")&amp;", "))),OR(NOT(ISNUMBER(SEARCH(", NA,",", "&amp;SUBSTITUTE(SUBSTITUTE(G33,", ",", ")," + ",", ")&amp;", "))),ISNUMBER(SEARCH(", NA,",", "&amp;SUBSTITUTE(SUBSTITUTE(L33,", ",", ")," + ",", ")&amp;", "))),OR(NOT(ISNUMBER(SEARCH(", TA,",", "&amp;SUBSTITUTE(SUBSTITUTE(G33,", ",", ")," + ",", ")&amp;", "))),ISNUMBER(SEARCH(", TA,",", "&amp;SUBSTITUTE(SUBSTITUTE(L33,", ",", ")," + ",", ")&amp;", "))),OR(NOT(ISNUMBER(SEARCH(", O/U,",", "&amp;SUBSTITUTE(SUBSTITUTE(G33,", ",", ")," + ",", ")&amp;", "))),ISNUMBER(SEARCH(", O/U,",", "&amp;SUBSTITUTE(SUBSTITUTE(L33,", ",", ")," + ",", ")&amp;", "))),OR(NOT(ISNUMBER(SEARCH(", KA,",", "&amp;SUBSTITUTE(SUBSTITUTE(G33,", ",", ")," + ",", ")&amp;", "))),ISNUMBER(SEARCH(", KA,",", "&amp;SUBSTITUTE(SUBSTITUTE(L33,", ",", ")," + ",", ")&amp;", "))),OR(NOT(ISNUMBER(SEARCH(", GA,",", "&amp;SUBSTITUTE(SUBSTITUTE(G33,", ",", ")," + ",", ")&amp;", "))),ISNUMBER(SEARCH(", GA,",", "&amp;SUBSTITUTE(SUBSTITUTE(L33,", ",", ")," + ",", ")&amp;", "))),OR(NOT(ISNUMBER(SEARCH(", SA,",", "&amp;SUBSTITUTE(SUBSTITUTE(G33,", ",", ")," + ",", ")&amp;", "))),ISNUMBER(SEARCH(", SA,",", "&amp;SUBSTITUTE(SUBSTITUTE(L33,", ",", ")," + ",", ")&amp;", "))),OR(NOT(ISNUMBER(SEARCH(", WA,",", "&amp;SUBSTITUTE(SUBSTITUTE(G33,", ",", ")," + ",", ")&amp;", "))),ISNUMBER(SEARCH(", WA,",", "&amp;SUBSTITUTE(SUBSTITUTE(L33,", ",", ")," + ",", ")&amp;", "))),OR(NOT(ISNUMBER(SEARCH(", YA,",", "&amp;SUBSTITUTE(SUBSTITUTE(G33,", ",", ")," + ",", ")&amp;", "))),ISNUMBER(SEARCH(", YA,",", "&amp;SUBSTITUTE(SUBSTITUTE(L33,", ",", ")," + ",", ")&amp;", "))),OR(NOT(ISNUMBER(SEARCH(", DA/RA,",", "&amp;SUBSTITUTE(SUBSTITUTE(G33,", ",", ")," + ",", ")&amp;", "))),ISNUMBER(SEARCH(", DA/RA,",", "&amp;SUBSTITUTE(SUBSTITUTE(L33,", ",", ")," + ",", ")&amp;", "))),OR(NOT(ISNUMBER(SEARCH(", HA,",", "&amp;SUBSTITUTE(SUBSTITUTE(G33,", ",", ")," + ",", ")&amp;", "))),ISNUMBER(SEARCH(", HA,",", "&amp;SUBSTITUTE(SUBSTITUTE(L33,", ",", ")," + ",", ")&amp;", "))),OR(NOT(ISNUMBER(SEARCH(", LA,",", "&amp;SUBSTITUTE(SUBSTITUTE(G33,", ",", ")," + ",", ")&amp;", "))),ISNUMBER(SEARCH(", LA,",", "&amp;SUBSTITUTE(SUBSTITUTE(L33,", ",", ")," + ",", ")&amp;", "))),OR(NOT(ISNUMBER(SEARCH(", NGA,",", "&amp;SUBSTITUTE(SUBSTITUTE(G33,", ",", ")," + ",", ")&amp;", "))),ISNUMBER(SEARCH(", NGA,",", "&amp;SUBSTITUTE(SUBSTITUTE(L33,", ",", ")," + ",", ")&amp;", "))),OR(NOT(ISNUMBER(SEARCH(", PA,",", "&amp;SUBSTITUTE(SUBSTITUTE(G33,", ",", ")," + ",", ")&amp;", "))),ISNUMBER(SEARCH(", PA,",", "&amp;SUBSTITUTE(SUBSTITUTE(L33,", ",", ")," + ",", ")&amp;", "))),OR(NOT(ISNUMBER(SEARCH(", A,",", "&amp;SUBSTITUTE(SUBSTITUTE(L32,", ",", ")," + ",", ")&amp;", "))),ISNUMBER(SEARCH(", A,",", "&amp;SUBSTITUTE(SUBSTITUTE(L33,", ",", ")," + ",", ")&amp;", "))),OR(NOT(ISNUMBER(SEARCH(", E/I,",", "&amp;SUBSTITUTE(SUBSTITUTE(L32,", ",", ")," + ",", ")&amp;", "))),ISNUMBER(SEARCH(", E/I,",", "&amp;SUBSTITUTE(SUBSTITUTE(L33,", ",", ")," + ",", ")&amp;", "))),OR(NOT(ISNUMBER(SEARCH(", BA,",", "&amp;SUBSTITUTE(SUBSTITUTE(L32,", ",", ")," + ",", ")&amp;", "))),ISNUMBER(SEARCH(", BA,",", "&amp;SUBSTITUTE(SUBSTITUTE(L33,", ",", ")," + ",", ")&amp;", "))),OR(NOT(ISNUMBER(SEARCH(", MA,",", "&amp;SUBSTITUTE(SUBSTITUTE(L32,", ",", ")," + ",", ")&amp;", "))),ISNUMBER(SEARCH(", MA,",", "&amp;SUBSTITUTE(SUBSTITUTE(L33,", ",", ")," + ",", ")&amp;", "))),OR(NOT(ISNUMBER(SEARCH(", NA,",", "&amp;SUBSTITUTE(SUBSTITUTE(L32,", ",", ")," + ",", ")&amp;", "))),ISNUMBER(SEARCH(", NA,",", "&amp;SUBSTITUTE(SUBSTITUTE(L33,", ",", ")," + ",", ")&amp;", "))),OR(NOT(ISNUMBER(SEARCH(", TA,",", "&amp;SUBSTITUTE(SUBSTITUTE(L32,", ",", ")," + ",", ")&amp;", "))),ISNUMBER(SEARCH(", TA,",", "&amp;SUBSTITUTE(SUBSTITUTE(L33,", ",", ")," + ",", ")&amp;", "))),OR(NOT(ISNUMBER(SEARCH(", O/U,",", "&amp;SUBSTITUTE(SUBSTITUTE(L32,", ",", ")," + ",", ")&amp;", "))),ISNUMBER(SEARCH(", O/U,",", "&amp;SUBSTITUTE(SUBSTITUTE(L33,", ",", ")," + ",", ")&amp;", "))),OR(NOT(ISNUMBER(SEARCH(", KA,",", "&amp;SUBSTITUTE(SUBSTITUTE(L32,", ",", ")," + ",", ")&amp;", "))),ISNUMBER(SEARCH(", KA,",", "&amp;SUBSTITUTE(SUBSTITUTE(L33,", ",", ")," + ",", ")&amp;", "))),OR(NOT(ISNUMBER(SEARCH(", GA,",", "&amp;SUBSTITUTE(SUBSTITUTE(L32,", ",", ")," + ",", ")&amp;", "))),ISNUMBER(SEARCH(", GA,",", "&amp;SUBSTITUTE(SUBSTITUTE(L33,", ",", ")," + ",", ")&amp;", "))),OR(NOT(ISNUMBER(SEARCH(", SA,",", "&amp;SUBSTITUTE(SUBSTITUTE(L32,", ",", ")," + ",", ")&amp;", "))),ISNUMBER(SEARCH(", SA,",", "&amp;SUBSTITUTE(SUBSTITUTE(L33,", ",", ")," + ",", ")&amp;", "))),OR(NOT(ISNUMBER(SEARCH(", WA,",", "&amp;SUBSTITUTE(SUBSTITUTE(L32,", ",", ")," + ",", ")&amp;", "))),ISNUMBER(SEARCH(", WA,",", "&amp;SUBSTITUTE(SUBSTITUTE(L33,", ",", ")," + ",", ")&amp;", "))),OR(NOT(ISNUMBER(SEARCH(", YA,",", "&amp;SUBSTITUTE(SUBSTITUTE(L32,", ",", ")," + ",", ")&amp;", "))),ISNUMBER(SEARCH(", YA,",", "&amp;SUBSTITUTE(SUBSTITUTE(L33,", ",", ")," + ",", ")&amp;", "))),OR(NOT(ISNUMBER(SEARCH(", DA/RA,",", "&amp;SUBSTITUTE(SUBSTITUTE(L32,", ",", ")," + ",", ")&amp;", "))),ISNUMBER(SEARCH(", DA/RA,",", "&amp;SUBSTITUTE(SUBSTITUTE(L33,", ",", ")," + ",", ")&amp;", "))),OR(NOT(ISNUMBER(SEARCH(", HA,",", "&amp;SUBSTITUTE(SUBSTITUTE(L32,", ",", ")," + ",", ")&amp;", "))),ISNUMBER(SEARCH(", HA,",", "&amp;SUBSTITUTE(SUBSTITUTE(L33,", ",", ")," + ",", ")&amp;", "))),OR(NOT(ISNUMBER(SEARCH(", LA,",", "&amp;SUBSTITUTE(SUBSTITUTE(L32,", ",", ")," + ",", ")&amp;", "))),ISNUMBER(SEARCH(", LA,",", "&amp;SUBSTITUTE(SUBSTITUTE(L33,", ",", ")," + ",", ")&amp;", "))),OR(NOT(ISNUMBER(SEARCH(", NGA,",", "&amp;SUBSTITUTE(SUBSTITUTE(L32,", ",", ")," + ",", ")&amp;", "))),ISNUMBER(SEARCH(", NGA,",", "&amp;SUBSTITUTE(SUBSTITUTE(L33,", ",", ")," + ",", ")&amp;", "))),OR(NOT(ISNUMBER(SEARCH(", PA,",", "&amp;SUBSTITUTE(SUBSTITUTE(L32,", ",", ")," + ",", ")&amp;", "))),ISNUMBER(SEARCH(", PA,",", "&amp;SUBSTITUTE(SUBSTITUTE(L33,", ",", ")," + ",", ")&amp;", ")))),"PASS","FAIL")</x:f>
        <x:v>PASS</x:v>
      </x:c>
      <x:c r="N33" s="47" t="str">
        <x:v>Original</x:v>
      </x:c>
      <x:c r="O33" s="47" t="str"/>
      <x:c r="P33" s="47" t="str">
        <x:v>None</x:v>
      </x:c>
      <x:c r="Q33" s="47" t="str">
        <x:f>IF(OR(ISNUMBER(SEARCH("kudlit",LOWER(E33))),ISNUMBER(SEARCH("ᜒ",E33)),ISNUMBER(SEARCH("ᜓ",E33))),"Yes","No")</x:f>
        <x:v>No</x:v>
      </x:c>
      <x:c r="R33" s="47" t="str">
        <x:f>IF(OR(ISNUMBER(SEARCH("BE",E33)),ISNUMBER(SEARCH("BI",E33)),ISNUMBER(SEARCH("BO",E33)),ISNUMBER(SEARCH("BU",E33)),ISNUMBER(SEARCH("DE",E33)),ISNUMBER(SEARCH("DI",E33)),ISNUMBER(SEARCH("DO",E33)),ISNUMBER(SEARCH("DU",E33)),ISNUMBER(SEARCH("GE",E33)),ISNUMBER(SEARCH("GI",E33)),ISNUMBER(SEARCH("GO",E33)),ISNUMBER(SEARCH("GU",E33)),ISNUMBER(SEARCH("HE",E33)),ISNUMBER(SEARCH("HI",E33)),ISNUMBER(SEARCH("HO",E33)),ISNUMBER(SEARCH("HU",E33)),ISNUMBER(SEARCH("KE",E33)),ISNUMBER(SEARCH("KI",E33)),ISNUMBER(SEARCH("KO",E33)),ISNUMBER(SEARCH("KU",E33)),ISNUMBER(SEARCH("LE",E33)),ISNUMBER(SEARCH("LI",E33)),ISNUMBER(SEARCH("LO",E33)),ISNUMBER(SEARCH("LU",E33)),ISNUMBER(SEARCH("ME",E33)),ISNUMBER(SEARCH("MI",E33)),ISNUMBER(SEARCH("MO",E33)),ISNUMBER(SEARCH("MU",E33)),ISNUMBER(SEARCH("NE",E33)),ISNUMBER(SEARCH("NI",E33)),ISNUMBER(SEARCH("NO",E33)),ISNUMBER(SEARCH("NU",E33)),ISNUMBER(SEARCH("PE",E33)),ISNUMBER(SEARCH("PI",E33)),ISNUMBER(SEARCH("PO",E33)),ISNUMBER(SEARCH("PU",E33)),ISNUMBER(SEARCH("RE",E33)),ISNUMBER(SEARCH("RI",E33)),ISNUMBER(SEARCH("RO",E33)),ISNUMBER(SEARCH("RU",E33)),ISNUMBER(SEARCH("SE",E33)),ISNUMBER(SEARCH("SI",E33)),ISNUMBER(SEARCH("SO",E33)),ISNUMBER(SEARCH("SU",E33)),ISNUMBER(SEARCH("TE",E33)),ISNUMBER(SEARCH("TI",E33)),ISNUMBER(SEARCH("TO",E33)),ISNUMBER(SEARCH("TU",E33)),ISNUMBER(SEARCH("WE",E33)),ISNUMBER(SEARCH("WI",E33)),ISNUMBER(SEARCH("WO",E33)),ISNUMBER(SEARCH("WU",E33)),ISNUMBER(SEARCH("YE",E33)),ISNUMBER(SEARCH("YI",E33)),ISNUMBER(SEARCH("YO",E33)),ISNUMBER(SEARCH("YU",E33))),"Yes","No")</x:f>
        <x:v>No</x:v>
      </x:c>
      <x:c r="S33" s="47" t="str">
        <x:v>Era 3 - Pamana!D17</x:v>
      </x:c>
      <x:c r="T33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33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33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33," + "))=COUNTA(TEXTSPLIT(G33," + "))),"PASS","FAIL")</x:f>
        <x:v>PASS</x:v>
      </x:c>
      <x:c r="U33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33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"&amp;SUBSTITUTE(SUBSTITUTE(G33,", ",", ")," + ",", ")&amp;", "))),AND('Character Matrix'!$J$8&lt;&gt;"",'Character Matrix'!$Q$8&lt;&gt;"Missing",'Character Matrix'!$Q$8&lt;&gt;"Conflicting")),OR(NOT(ISNUMBER(SEARCH(", E/I,",", "&amp;SUBSTITUTE(SUBSTITUTE(G33,", ",", ")," + ",", ")&amp;", "))),AND('Character Matrix'!$J$9&lt;&gt;"",'Character Matrix'!$Q$9&lt;&gt;"Missing",'Character Matrix'!$Q$9&lt;&gt;"Conflicting")),OR(NOT(ISNUMBER(SEARCH(", BA,",", "&amp;SUBSTITUTE(SUBSTITUTE(G33,", ",", ")," + ",", ")&amp;", "))),AND('Character Matrix'!$J$10&lt;&gt;"",'Character Matrix'!$Q$10&lt;&gt;"Missing",'Character Matrix'!$Q$10&lt;&gt;"Conflicting")),OR(NOT(ISNUMBER(SEARCH(", MA,",", "&amp;SUBSTITUTE(SUBSTITUTE(G33,", ",", ")," + ",", ")&amp;", "))),AND('Character Matrix'!$J$11&lt;&gt;"",'Character Matrix'!$Q$11&lt;&gt;"Missing",'Character Matrix'!$Q$11&lt;&gt;"Conflicting")),OR(NOT(ISNUMBER(SEARCH(", NA,",", "&amp;SUBSTITUTE(SUBSTITUTE(G33,", ",", ")," + ",", ")&amp;", "))),AND('Character Matrix'!$J$12&lt;&gt;"",'Character Matrix'!$Q$12&lt;&gt;"Missing",'Character Matrix'!$Q$12&lt;&gt;"Conflicting")),OR(NOT(ISNUMBER(SEARCH(", TA,",", "&amp;SUBSTITUTE(SUBSTITUTE(G33,", ",", ")," + ",", ")&amp;", "))),AND('Character Matrix'!$J$13&lt;&gt;"",'Character Matrix'!$Q$13&lt;&gt;"Missing",'Character Matrix'!$Q$13&lt;&gt;"Conflicting")),OR(NOT(ISNUMBER(SEARCH(", O/U,",", "&amp;SUBSTITUTE(SUBSTITUTE(G33,", ",", ")," + ",", ")&amp;", "))),AND('Character Matrix'!$J$14&lt;&gt;"",'Character Matrix'!$Q$14&lt;&gt;"Missing",'Character Matrix'!$Q$14&lt;&gt;"Conflicting")),OR(NOT(ISNUMBER(SEARCH(", KA,",", "&amp;SUBSTITUTE(SUBSTITUTE(G33,", ",", ")," + ",", ")&amp;", "))),AND('Character Matrix'!$J$15&lt;&gt;"",'Character Matrix'!$Q$15&lt;&gt;"Missing",'Character Matrix'!$Q$15&lt;&gt;"Conflicting")),OR(NOT(ISNUMBER(SEARCH(", GA,",", "&amp;SUBSTITUTE(SUBSTITUTE(G33,", ",", ")," + ",", ")&amp;", "))),AND('Character Matrix'!$J$16&lt;&gt;"",'Character Matrix'!$Q$16&lt;&gt;"Missing",'Character Matrix'!$Q$16&lt;&gt;"Conflicting")),OR(NOT(ISNUMBER(SEARCH(", SA,",", "&amp;SUBSTITUTE(SUBSTITUTE(G33,", ",", ")," + ",", ")&amp;", "))),AND('Character Matrix'!$J$17&lt;&gt;"",'Character Matrix'!$Q$17&lt;&gt;"Missing",'Character Matrix'!$Q$17&lt;&gt;"Conflicting")),OR(NOT(ISNUMBER(SEARCH(", WA,",", "&amp;SUBSTITUTE(SUBSTITUTE(G33,", ",", ")," + ",", ")&amp;", "))),AND('Character Matrix'!$J$18&lt;&gt;"",'Character Matrix'!$Q$18&lt;&gt;"Missing",'Character Matrix'!$Q$18&lt;&gt;"Conflicting")),OR(NOT(ISNUMBER(SEARCH(", YA,",", "&amp;SUBSTITUTE(SUBSTITUTE(G33,", ",", ")," + ",", ")&amp;", "))),AND('Character Matrix'!$J$19&lt;&gt;"",'Character Matrix'!$Q$19&lt;&gt;"Missing",'Character Matrix'!$Q$19&lt;&gt;"Conflicting")),OR(NOT(ISNUMBER(SEARCH(", DA/RA,",", "&amp;SUBSTITUTE(SUBSTITUTE(G33,", ",", ")," + ",", ")&amp;", "))),AND('Character Matrix'!$J$20&lt;&gt;"",'Character Matrix'!$Q$20&lt;&gt;"Missing",'Character Matrix'!$Q$20&lt;&gt;"Conflicting")),OR(NOT(ISNUMBER(SEARCH(", HA,",", "&amp;SUBSTITUTE(SUBSTITUTE(G33,", ",", ")," + ",", ")&amp;", "))),AND('Character Matrix'!$J$21&lt;&gt;"",'Character Matrix'!$Q$21&lt;&gt;"Missing",'Character Matrix'!$Q$21&lt;&gt;"Conflicting")),OR(NOT(ISNUMBER(SEARCH(", LA,",", "&amp;SUBSTITUTE(SUBSTITUTE(G33,", ",", ")," + ",", ")&amp;", "))),AND('Character Matrix'!$J$22&lt;&gt;"",'Character Matrix'!$Q$22&lt;&gt;"Missing",'Character Matrix'!$Q$22&lt;&gt;"Conflicting")),OR(NOT(ISNUMBER(SEARCH(", NGA,",", "&amp;SUBSTITUTE(SUBSTITUTE(G33,", ",", ")," + ",", ")&amp;", "))),AND('Character Matrix'!$J$23&lt;&gt;"",'Character Matrix'!$Q$23&lt;&gt;"Missing",'Character Matrix'!$Q$23&lt;&gt;"Conflicting")),OR(NOT(ISNUMBER(SEARCH(", PA,",", "&amp;SUBSTITUTE(SUBSTITUTE(G33,", ",", ")," + ",", ")&amp;", "))),AND('Character Matrix'!$J$24&lt;&gt;"",'Character Matrix'!$Q$24&lt;&gt;"Missing",'Character Matrix'!$Q$24&lt;&gt;"Conflicting"))),"PASS","FAIL")</x:f>
        <x:v>PASS</x:v>
      </x:c>
      <x:c r="V33" s="48" t="str">
        <x:f>IF(AND(M33="PASS",Q33="No",R33="No",T33="PASS",U33="PASS",OR(K33="N/A",K33="PASS")),"PASS","FAIL")</x:f>
        <x:v>PASS</x:v>
      </x:c>
    </x:row>
    <x:row r="34" ht="52" customHeight="1">
      <x:c r="A34" s="46" t="n">
        <x:v>14</x:v>
      </x:c>
      <x:c r="B34" s="47" t="str">
        <x:v>Pamana</x:v>
      </x:c>
      <x:c r="C34" s="47" t="n">
        <x:v>4</x:v>
      </x:c>
      <x:c r="D34" s="47" t="n">
        <x:v>1</x:v>
      </x:c>
      <x:c r="E34" s="47" t="str">
        <x:v>ALAALA</x:v>
      </x:c>
      <x:c r="F34" s="47" t="str">
        <x:v>A + LA + A + LA</x:v>
      </x:c>
      <x:c r="G34" s="47" t="str">
        <x:v>A + LA + A + LA</x:v>
      </x:c>
      <x:c r="H34" s="47" t="str">
        <x:v>LA</x:v>
      </x:c>
      <x:c r="I34" s="47" t="str">
        <x:v>LA</x:v>
      </x:c>
      <x:c r="J34" s="47" t="str"/>
      <x:c r="K34" s="47" t="str">
        <x:f>IF(D34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34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34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34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34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N/A</x:v>
      </x:c>
      <x:c r="L34" s="47" t="str">
        <x:v>A, E/I, BA, MA, NA, TA, O/U, KA, GA, SA, WA, YA, DA/RA, HA, LA, NGA</x:v>
      </x:c>
      <x:c r="M34" s="47" t="str">
        <x:f>IF(AND(LEN(L34)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34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34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34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"&amp;SUBSTITUTE(SUBSTITUTE(G34,", ",", ")," + ",", ")&amp;", "))),ISNUMBER(SEARCH(", A,",", "&amp;SUBSTITUTE(SUBSTITUTE(L34,", ",", ")," + ",", ")&amp;", "))),OR(NOT(ISNUMBER(SEARCH(", E/I,",", "&amp;SUBSTITUTE(SUBSTITUTE(G34,", ",", ")," + ",", ")&amp;", "))),ISNUMBER(SEARCH(", E/I,",", "&amp;SUBSTITUTE(SUBSTITUTE(L34,", ",", ")," + ",", ")&amp;", "))),OR(NOT(ISNUMBER(SEARCH(", BA,",", "&amp;SUBSTITUTE(SUBSTITUTE(G34,", ",", ")," + ",", ")&amp;", "))),ISNUMBER(SEARCH(", BA,",", "&amp;SUBSTITUTE(SUBSTITUTE(L34,", ",", ")," + ",", ")&amp;", "))),OR(NOT(ISNUMBER(SEARCH(", MA,",", "&amp;SUBSTITUTE(SUBSTITUTE(G34,", ",", ")," + ",", ")&amp;", "))),ISNUMBER(SEARCH(", MA,",", "&amp;SUBSTITUTE(SUBSTITUTE(L34,", ",", ")," + ",", ")&amp;", "))),OR(NOT(ISNUMBER(SEARCH(", NA,",", "&amp;SUBSTITUTE(SUBSTITUTE(G34,", ",", ")," + ",", ")&amp;", "))),ISNUMBER(SEARCH(", NA,",", "&amp;SUBSTITUTE(SUBSTITUTE(L34,", ",", ")," + ",", ")&amp;", "))),OR(NOT(ISNUMBER(SEARCH(", TA,",", "&amp;SUBSTITUTE(SUBSTITUTE(G34,", ",", ")," + ",", ")&amp;", "))),ISNUMBER(SEARCH(", TA,",", "&amp;SUBSTITUTE(SUBSTITUTE(L34,", ",", ")," + ",", ")&amp;", "))),OR(NOT(ISNUMBER(SEARCH(", O/U,",", "&amp;SUBSTITUTE(SUBSTITUTE(G34,", ",", ")," + ",", ")&amp;", "))),ISNUMBER(SEARCH(", O/U,",", "&amp;SUBSTITUTE(SUBSTITUTE(L34,", ",", ")," + ",", ")&amp;", "))),OR(NOT(ISNUMBER(SEARCH(", KA,",", "&amp;SUBSTITUTE(SUBSTITUTE(G34,", ",", ")," + ",", ")&amp;", "))),ISNUMBER(SEARCH(", KA,",", "&amp;SUBSTITUTE(SUBSTITUTE(L34,", ",", ")," + ",", ")&amp;", "))),OR(NOT(ISNUMBER(SEARCH(", GA,",", "&amp;SUBSTITUTE(SUBSTITUTE(G34,", ",", ")," + ",", ")&amp;", "))),ISNUMBER(SEARCH(", GA,",", "&amp;SUBSTITUTE(SUBSTITUTE(L34,", ",", ")," + ",", ")&amp;", "))),OR(NOT(ISNUMBER(SEARCH(", SA,",", "&amp;SUBSTITUTE(SUBSTITUTE(G34,", ",", ")," + ",", ")&amp;", "))),ISNUMBER(SEARCH(", SA,",", "&amp;SUBSTITUTE(SUBSTITUTE(L34,", ",", ")," + ",", ")&amp;", "))),OR(NOT(ISNUMBER(SEARCH(", WA,",", "&amp;SUBSTITUTE(SUBSTITUTE(G34,", ",", ")," + ",", ")&amp;", "))),ISNUMBER(SEARCH(", WA,",", "&amp;SUBSTITUTE(SUBSTITUTE(L34,", ",", ")," + ",", ")&amp;", "))),OR(NOT(ISNUMBER(SEARCH(", YA,",", "&amp;SUBSTITUTE(SUBSTITUTE(G34,", ",", ")," + ",", ")&amp;", "))),ISNUMBER(SEARCH(", YA,",", "&amp;SUBSTITUTE(SUBSTITUTE(L34,", ",", ")," + ",", ")&amp;", "))),OR(NOT(ISNUMBER(SEARCH(", DA/RA,",", "&amp;SUBSTITUTE(SUBSTITUTE(G34,", ",", ")," + ",", ")&amp;", "))),ISNUMBER(SEARCH(", DA/RA,",", "&amp;SUBSTITUTE(SUBSTITUTE(L34,", ",", ")," + ",", ")&amp;", "))),OR(NOT(ISNUMBER(SEARCH(", HA,",", "&amp;SUBSTITUTE(SUBSTITUTE(G34,", ",", ")," + ",", ")&amp;", "))),ISNUMBER(SEARCH(", HA,",", "&amp;SUBSTITUTE(SUBSTITUTE(L34,", ",", ")," + ",", ")&amp;", "))),OR(NOT(ISNUMBER(SEARCH(", LA,",", "&amp;SUBSTITUTE(SUBSTITUTE(G34,", ",", ")," + ",", ")&amp;", "))),ISNUMBER(SEARCH(", LA,",", "&amp;SUBSTITUTE(SUBSTITUTE(L34,", ",", ")," + ",", ")&amp;", "))),OR(NOT(ISNUMBER(SEARCH(", NGA,",", "&amp;SUBSTITUTE(SUBSTITUTE(G34,", ",", ")," + ",", ")&amp;", "))),ISNUMBER(SEARCH(", NGA,",", "&amp;SUBSTITUTE(SUBSTITUTE(L34,", ",", ")," + ",", ")&amp;", "))),OR(NOT(ISNUMBER(SEARCH(", PA,",", "&amp;SUBSTITUTE(SUBSTITUTE(G34,", ",", ")," + ",", ")&amp;", "))),ISNUMBER(SEARCH(", PA,",", "&amp;SUBSTITUTE(SUBSTITUTE(L34,", ",", ")," + ",", ")&amp;", "))),OR(NOT(ISNUMBER(SEARCH(", A,",", "&amp;SUBSTITUTE(SUBSTITUTE(L33,", ",", ")," + ",", ")&amp;", "))),ISNUMBER(SEARCH(", A,",", "&amp;SUBSTITUTE(SUBSTITUTE(L34,", ",", ")," + ",", ")&amp;", "))),OR(NOT(ISNUMBER(SEARCH(", E/I,",", "&amp;SUBSTITUTE(SUBSTITUTE(L33,", ",", ")," + ",", ")&amp;", "))),ISNUMBER(SEARCH(", E/I,",", "&amp;SUBSTITUTE(SUBSTITUTE(L34,", ",", ")," + ",", ")&amp;", "))),OR(NOT(ISNUMBER(SEARCH(", BA,",", "&amp;SUBSTITUTE(SUBSTITUTE(L33,", ",", ")," + ",", ")&amp;", "))),ISNUMBER(SEARCH(", BA,",", "&amp;SUBSTITUTE(SUBSTITUTE(L34,", ",", ")," + ",", ")&amp;", "))),OR(NOT(ISNUMBER(SEARCH(", MA,",", "&amp;SUBSTITUTE(SUBSTITUTE(L33,", ",", ")," + ",", ")&amp;", "))),ISNUMBER(SEARCH(", MA,",", "&amp;SUBSTITUTE(SUBSTITUTE(L34,", ",", ")," + ",", ")&amp;", "))),OR(NOT(ISNUMBER(SEARCH(", NA,",", "&amp;SUBSTITUTE(SUBSTITUTE(L33,", ",", ")," + ",", ")&amp;", "))),ISNUMBER(SEARCH(", NA,",", "&amp;SUBSTITUTE(SUBSTITUTE(L34,", ",", ")," + ",", ")&amp;", "))),OR(NOT(ISNUMBER(SEARCH(", TA,",", "&amp;SUBSTITUTE(SUBSTITUTE(L33,", ",", ")," + ",", ")&amp;", "))),ISNUMBER(SEARCH(", TA,",", "&amp;SUBSTITUTE(SUBSTITUTE(L34,", ",", ")," + ",", ")&amp;", "))),OR(NOT(ISNUMBER(SEARCH(", O/U,",", "&amp;SUBSTITUTE(SUBSTITUTE(L33,", ",", ")," + ",", ")&amp;", "))),ISNUMBER(SEARCH(", O/U,",", "&amp;SUBSTITUTE(SUBSTITUTE(L34,", ",", ")," + ",", ")&amp;", "))),OR(NOT(ISNUMBER(SEARCH(", KA,",", "&amp;SUBSTITUTE(SUBSTITUTE(L33,", ",", ")," + ",", ")&amp;", "))),ISNUMBER(SEARCH(", KA,",", "&amp;SUBSTITUTE(SUBSTITUTE(L34,", ",", ")," + ",", ")&amp;", "))),OR(NOT(ISNUMBER(SEARCH(", GA,",", "&amp;SUBSTITUTE(SUBSTITUTE(L33,", ",", ")," + ",", ")&amp;", "))),ISNUMBER(SEARCH(", GA,",", "&amp;SUBSTITUTE(SUBSTITUTE(L34,", ",", ")," + ",", ")&amp;", "))),OR(NOT(ISNUMBER(SEARCH(", SA,",", "&amp;SUBSTITUTE(SUBSTITUTE(L33,", ",", ")," + ",", ")&amp;", "))),ISNUMBER(SEARCH(", SA,",", "&amp;SUBSTITUTE(SUBSTITUTE(L34,", ",", ")," + ",", ")&amp;", "))),OR(NOT(ISNUMBER(SEARCH(", WA,",", "&amp;SUBSTITUTE(SUBSTITUTE(L33,", ",", ")," + ",", ")&amp;", "))),ISNUMBER(SEARCH(", WA,",", "&amp;SUBSTITUTE(SUBSTITUTE(L34,", ",", ")," + ",", ")&amp;", "))),OR(NOT(ISNUMBER(SEARCH(", YA,",", "&amp;SUBSTITUTE(SUBSTITUTE(L33,", ",", ")," + ",", ")&amp;", "))),ISNUMBER(SEARCH(", YA,",", "&amp;SUBSTITUTE(SUBSTITUTE(L34,", ",", ")," + ",", ")&amp;", "))),OR(NOT(ISNUMBER(SEARCH(", DA/RA,",", "&amp;SUBSTITUTE(SUBSTITUTE(L33,", ",", ")," + ",", ")&amp;", "))),ISNUMBER(SEARCH(", DA/RA,",", "&amp;SUBSTITUTE(SUBSTITUTE(L34,", ",", ")," + ",", ")&amp;", "))),OR(NOT(ISNUMBER(SEARCH(", HA,",", "&amp;SUBSTITUTE(SUBSTITUTE(L33,", ",", ")," + ",", ")&amp;", "))),ISNUMBER(SEARCH(", HA,",", "&amp;SUBSTITUTE(SUBSTITUTE(L34,", ",", ")," + ",", ")&amp;", "))),OR(NOT(ISNUMBER(SEARCH(", LA,",", "&amp;SUBSTITUTE(SUBSTITUTE(L33,", ",", ")," + ",", ")&amp;", "))),ISNUMBER(SEARCH(", LA,",", "&amp;SUBSTITUTE(SUBSTITUTE(L34,", ",", ")," + ",", ")&amp;", "))),OR(NOT(ISNUMBER(SEARCH(", NGA,",", "&amp;SUBSTITUTE(SUBSTITUTE(L33,", ",", ")," + ",", ")&amp;", "))),ISNUMBER(SEARCH(", NGA,",", "&amp;SUBSTITUTE(SUBSTITUTE(L34,", ",", ")," + ",", ")&amp;", "))),OR(NOT(ISNUMBER(SEARCH(", PA,",", "&amp;SUBSTITUTE(SUBSTITUTE(L33,", ",", ")," + ",", ")&amp;", "))),ISNUMBER(SEARCH(", PA,",", "&amp;SUBSTITUTE(SUBSTITUTE(L34,", ",", ")," + ",", ")&amp;", ")))),"PASS","FAIL")</x:f>
        <x:v>PASS</x:v>
      </x:c>
      <x:c r="N34" s="47" t="str">
        <x:v>Original</x:v>
      </x:c>
      <x:c r="O34" s="47" t="str"/>
      <x:c r="P34" s="47" t="str">
        <x:v>A ×2 and LA ×2 (alternating)</x:v>
      </x:c>
      <x:c r="Q34" s="47" t="str">
        <x:f>IF(OR(ISNUMBER(SEARCH("kudlit",LOWER(E34))),ISNUMBER(SEARCH("ᜒ",E34)),ISNUMBER(SEARCH("ᜓ",E34))),"Yes","No")</x:f>
        <x:v>No</x:v>
      </x:c>
      <x:c r="R34" s="47" t="str">
        <x:f>IF(OR(ISNUMBER(SEARCH("BE",E34)),ISNUMBER(SEARCH("BI",E34)),ISNUMBER(SEARCH("BO",E34)),ISNUMBER(SEARCH("BU",E34)),ISNUMBER(SEARCH("DE",E34)),ISNUMBER(SEARCH("DI",E34)),ISNUMBER(SEARCH("DO",E34)),ISNUMBER(SEARCH("DU",E34)),ISNUMBER(SEARCH("GE",E34)),ISNUMBER(SEARCH("GI",E34)),ISNUMBER(SEARCH("GO",E34)),ISNUMBER(SEARCH("GU",E34)),ISNUMBER(SEARCH("HE",E34)),ISNUMBER(SEARCH("HI",E34)),ISNUMBER(SEARCH("HO",E34)),ISNUMBER(SEARCH("HU",E34)),ISNUMBER(SEARCH("KE",E34)),ISNUMBER(SEARCH("KI",E34)),ISNUMBER(SEARCH("KO",E34)),ISNUMBER(SEARCH("KU",E34)),ISNUMBER(SEARCH("LE",E34)),ISNUMBER(SEARCH("LI",E34)),ISNUMBER(SEARCH("LO",E34)),ISNUMBER(SEARCH("LU",E34)),ISNUMBER(SEARCH("ME",E34)),ISNUMBER(SEARCH("MI",E34)),ISNUMBER(SEARCH("MO",E34)),ISNUMBER(SEARCH("MU",E34)),ISNUMBER(SEARCH("NE",E34)),ISNUMBER(SEARCH("NI",E34)),ISNUMBER(SEARCH("NO",E34)),ISNUMBER(SEARCH("NU",E34)),ISNUMBER(SEARCH("PE",E34)),ISNUMBER(SEARCH("PI",E34)),ISNUMBER(SEARCH("PO",E34)),ISNUMBER(SEARCH("PU",E34)),ISNUMBER(SEARCH("RE",E34)),ISNUMBER(SEARCH("RI",E34)),ISNUMBER(SEARCH("RO",E34)),ISNUMBER(SEARCH("RU",E34)),ISNUMBER(SEARCH("SE",E34)),ISNUMBER(SEARCH("SI",E34)),ISNUMBER(SEARCH("SO",E34)),ISNUMBER(SEARCH("SU",E34)),ISNUMBER(SEARCH("TE",E34)),ISNUMBER(SEARCH("TI",E34)),ISNUMBER(SEARCH("TO",E34)),ISNUMBER(SEARCH("TU",E34)),ISNUMBER(SEARCH("WE",E34)),ISNUMBER(SEARCH("WI",E34)),ISNUMBER(SEARCH("WO",E34)),ISNUMBER(SEARCH("WU",E34)),ISNUMBER(SEARCH("YE",E34)),ISNUMBER(SEARCH("YI",E34)),ISNUMBER(SEARCH("YO",E34)),ISNUMBER(SEARCH("YU",E34))),"Yes","No")</x:f>
        <x:v>No</x:v>
      </x:c>
      <x:c r="S34" s="47" t="str">
        <x:v>Era 3 - Pamana!D18</x:v>
      </x:c>
      <x:c r="T34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34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34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34," + "))=COUNTA(TEXTSPLIT(G34," + "))),"PASS","FAIL")</x:f>
        <x:v>PASS</x:v>
      </x:c>
      <x:c r="U34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34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"&amp;SUBSTITUTE(SUBSTITUTE(G34,", ",", ")," + ",", ")&amp;", "))),AND('Character Matrix'!$J$8&lt;&gt;"",'Character Matrix'!$Q$8&lt;&gt;"Missing",'Character Matrix'!$Q$8&lt;&gt;"Conflicting")),OR(NOT(ISNUMBER(SEARCH(", E/I,",", "&amp;SUBSTITUTE(SUBSTITUTE(G34,", ",", ")," + ",", ")&amp;", "))),AND('Character Matrix'!$J$9&lt;&gt;"",'Character Matrix'!$Q$9&lt;&gt;"Missing",'Character Matrix'!$Q$9&lt;&gt;"Conflicting")),OR(NOT(ISNUMBER(SEARCH(", BA,",", "&amp;SUBSTITUTE(SUBSTITUTE(G34,", ",", ")," + ",", ")&amp;", "))),AND('Character Matrix'!$J$10&lt;&gt;"",'Character Matrix'!$Q$10&lt;&gt;"Missing",'Character Matrix'!$Q$10&lt;&gt;"Conflicting")),OR(NOT(ISNUMBER(SEARCH(", MA,",", "&amp;SUBSTITUTE(SUBSTITUTE(G34,", ",", ")," + ",", ")&amp;", "))),AND('Character Matrix'!$J$11&lt;&gt;"",'Character Matrix'!$Q$11&lt;&gt;"Missing",'Character Matrix'!$Q$11&lt;&gt;"Conflicting")),OR(NOT(ISNUMBER(SEARCH(", NA,",", "&amp;SUBSTITUTE(SUBSTITUTE(G34,", ",", ")," + ",", ")&amp;", "))),AND('Character Matrix'!$J$12&lt;&gt;"",'Character Matrix'!$Q$12&lt;&gt;"Missing",'Character Matrix'!$Q$12&lt;&gt;"Conflicting")),OR(NOT(ISNUMBER(SEARCH(", TA,",", "&amp;SUBSTITUTE(SUBSTITUTE(G34,", ",", ")," + ",", ")&amp;", "))),AND('Character Matrix'!$J$13&lt;&gt;"",'Character Matrix'!$Q$13&lt;&gt;"Missing",'Character Matrix'!$Q$13&lt;&gt;"Conflicting")),OR(NOT(ISNUMBER(SEARCH(", O/U,",", "&amp;SUBSTITUTE(SUBSTITUTE(G34,", ",", ")," + ",", ")&amp;", "))),AND('Character Matrix'!$J$14&lt;&gt;"",'Character Matrix'!$Q$14&lt;&gt;"Missing",'Character Matrix'!$Q$14&lt;&gt;"Conflicting")),OR(NOT(ISNUMBER(SEARCH(", KA,",", "&amp;SUBSTITUTE(SUBSTITUTE(G34,", ",", ")," + ",", ")&amp;", "))),AND('Character Matrix'!$J$15&lt;&gt;"",'Character Matrix'!$Q$15&lt;&gt;"Missing",'Character Matrix'!$Q$15&lt;&gt;"Conflicting")),OR(NOT(ISNUMBER(SEARCH(", GA,",", "&amp;SUBSTITUTE(SUBSTITUTE(G34,", ",", ")," + ",", ")&amp;", "))),AND('Character Matrix'!$J$16&lt;&gt;"",'Character Matrix'!$Q$16&lt;&gt;"Missing",'Character Matrix'!$Q$16&lt;&gt;"Conflicting")),OR(NOT(ISNUMBER(SEARCH(", SA,",", "&amp;SUBSTITUTE(SUBSTITUTE(G34,", ",", ")," + ",", ")&amp;", "))),AND('Character Matrix'!$J$17&lt;&gt;"",'Character Matrix'!$Q$17&lt;&gt;"Missing",'Character Matrix'!$Q$17&lt;&gt;"Conflicting")),OR(NOT(ISNUMBER(SEARCH(", WA,",", "&amp;SUBSTITUTE(SUBSTITUTE(G34,", ",", ")," + ",", ")&amp;", "))),AND('Character Matrix'!$J$18&lt;&gt;"",'Character Matrix'!$Q$18&lt;&gt;"Missing",'Character Matrix'!$Q$18&lt;&gt;"Conflicting")),OR(NOT(ISNUMBER(SEARCH(", YA,",", "&amp;SUBSTITUTE(SUBSTITUTE(G34,", ",", ")," + ",", ")&amp;", "))),AND('Character Matrix'!$J$19&lt;&gt;"",'Character Matrix'!$Q$19&lt;&gt;"Missing",'Character Matrix'!$Q$19&lt;&gt;"Conflicting")),OR(NOT(ISNUMBER(SEARCH(", DA/RA,",", "&amp;SUBSTITUTE(SUBSTITUTE(G34,", ",", ")," + ",", ")&amp;", "))),AND('Character Matrix'!$J$20&lt;&gt;"",'Character Matrix'!$Q$20&lt;&gt;"Missing",'Character Matrix'!$Q$20&lt;&gt;"Conflicting")),OR(NOT(ISNUMBER(SEARCH(", HA,",", "&amp;SUBSTITUTE(SUBSTITUTE(G34,", ",", ")," + ",", ")&amp;", "))),AND('Character Matrix'!$J$21&lt;&gt;"",'Character Matrix'!$Q$21&lt;&gt;"Missing",'Character Matrix'!$Q$21&lt;&gt;"Conflicting")),OR(NOT(ISNUMBER(SEARCH(", LA,",", "&amp;SUBSTITUTE(SUBSTITUTE(G34,", ",", ")," + ",", ")&amp;", "))),AND('Character Matrix'!$J$22&lt;&gt;"",'Character Matrix'!$Q$22&lt;&gt;"Missing",'Character Matrix'!$Q$22&lt;&gt;"Conflicting")),OR(NOT(ISNUMBER(SEARCH(", NGA,",", "&amp;SUBSTITUTE(SUBSTITUTE(G34,", ",", ")," + ",", ")&amp;", "))),AND('Character Matrix'!$J$23&lt;&gt;"",'Character Matrix'!$Q$23&lt;&gt;"Missing",'Character Matrix'!$Q$23&lt;&gt;"Conflicting")),OR(NOT(ISNUMBER(SEARCH(", PA,",", "&amp;SUBSTITUTE(SUBSTITUTE(G34,", ",", ")," + ",", ")&amp;", "))),AND('Character Matrix'!$J$24&lt;&gt;"",'Character Matrix'!$Q$24&lt;&gt;"Missing",'Character Matrix'!$Q$24&lt;&gt;"Conflicting"))),"PASS","FAIL")</x:f>
        <x:v>PASS</x:v>
      </x:c>
      <x:c r="V34" s="48" t="str">
        <x:f>IF(AND(M34="PASS",Q34="No",R34="No",T34="PASS",U34="PASS",OR(K34="N/A",K34="PASS")),"PASS","FAIL")</x:f>
        <x:v>PASS</x:v>
      </x:c>
    </x:row>
    <x:row r="35" ht="52" customHeight="1">
      <x:c r="A35" s="46" t="n">
        <x:v>14</x:v>
      </x:c>
      <x:c r="B35" s="47" t="str">
        <x:v>Pamana</x:v>
      </x:c>
      <x:c r="C35" s="47" t="n">
        <x:v>4</x:v>
      </x:c>
      <x:c r="D35" s="47" t="n">
        <x:v>2</x:v>
      </x:c>
      <x:c r="E35" s="47" t="str">
        <x:v>MAHALAGA</x:v>
      </x:c>
      <x:c r="F35" s="47" t="str">
        <x:v>MA + HA + LA + GA</x:v>
      </x:c>
      <x:c r="G35" s="47" t="str">
        <x:v>MA + HA + LA + GA</x:v>
      </x:c>
      <x:c r="H35" s="47" t="str">
        <x:v>GA</x:v>
      </x:c>
      <x:c r="I35" s="47" t="str">
        <x:v>GA</x:v>
      </x:c>
      <x:c r="J35" s="47" t="str">
        <x:v>GA</x:v>
      </x:c>
      <x:c r="K35" s="47" t="str">
        <x:f>IF(D35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35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35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35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35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PASS</x:v>
      </x:c>
      <x:c r="L35" s="47" t="str">
        <x:v>A, E/I, BA, MA, NA, TA, O/U, KA, GA, SA, WA, YA, DA/RA, HA, LA, NGA</x:v>
      </x:c>
      <x:c r="M35" s="47" t="str">
        <x:f>IF(AND(LEN(L35)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35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35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35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"&amp;SUBSTITUTE(SUBSTITUTE(G35,", ",", ")," + ",", ")&amp;", "))),ISNUMBER(SEARCH(", A,",", "&amp;SUBSTITUTE(SUBSTITUTE(L35,", ",", ")," + ",", ")&amp;", "))),OR(NOT(ISNUMBER(SEARCH(", E/I,",", "&amp;SUBSTITUTE(SUBSTITUTE(G35,", ",", ")," + ",", ")&amp;", "))),ISNUMBER(SEARCH(", E/I,",", "&amp;SUBSTITUTE(SUBSTITUTE(L35,", ",", ")," + ",", ")&amp;", "))),OR(NOT(ISNUMBER(SEARCH(", BA,",", "&amp;SUBSTITUTE(SUBSTITUTE(G35,", ",", ")," + ",", ")&amp;", "))),ISNUMBER(SEARCH(", BA,",", "&amp;SUBSTITUTE(SUBSTITUTE(L35,", ",", ")," + ",", ")&amp;", "))),OR(NOT(ISNUMBER(SEARCH(", MA,",", "&amp;SUBSTITUTE(SUBSTITUTE(G35,", ",", ")," + ",", ")&amp;", "))),ISNUMBER(SEARCH(", MA,",", "&amp;SUBSTITUTE(SUBSTITUTE(L35,", ",", ")," + ",", ")&amp;", "))),OR(NOT(ISNUMBER(SEARCH(", NA,",", "&amp;SUBSTITUTE(SUBSTITUTE(G35,", ",", ")," + ",", ")&amp;", "))),ISNUMBER(SEARCH(", NA,",", "&amp;SUBSTITUTE(SUBSTITUTE(L35,", ",", ")," + ",", ")&amp;", "))),OR(NOT(ISNUMBER(SEARCH(", TA,",", "&amp;SUBSTITUTE(SUBSTITUTE(G35,", ",", ")," + ",", ")&amp;", "))),ISNUMBER(SEARCH(", TA,",", "&amp;SUBSTITUTE(SUBSTITUTE(L35,", ",", ")," + ",", ")&amp;", "))),OR(NOT(ISNUMBER(SEARCH(", O/U,",", "&amp;SUBSTITUTE(SUBSTITUTE(G35,", ",", ")," + ",", ")&amp;", "))),ISNUMBER(SEARCH(", O/U,",", "&amp;SUBSTITUTE(SUBSTITUTE(L35,", ",", ")," + ",", ")&amp;", "))),OR(NOT(ISNUMBER(SEARCH(", KA,",", "&amp;SUBSTITUTE(SUBSTITUTE(G35,", ",", ")," + ",", ")&amp;", "))),ISNUMBER(SEARCH(", KA,",", "&amp;SUBSTITUTE(SUBSTITUTE(L35,", ",", ")," + ",", ")&amp;", "))),OR(NOT(ISNUMBER(SEARCH(", GA,",", "&amp;SUBSTITUTE(SUBSTITUTE(G35,", ",", ")," + ",", ")&amp;", "))),ISNUMBER(SEARCH(", GA,",", "&amp;SUBSTITUTE(SUBSTITUTE(L35,", ",", ")," + ",", ")&amp;", "))),OR(NOT(ISNUMBER(SEARCH(", SA,",", "&amp;SUBSTITUTE(SUBSTITUTE(G35,", ",", ")," + ",", ")&amp;", "))),ISNUMBER(SEARCH(", SA,",", "&amp;SUBSTITUTE(SUBSTITUTE(L35,", ",", ")," + ",", ")&amp;", "))),OR(NOT(ISNUMBER(SEARCH(", WA,",", "&amp;SUBSTITUTE(SUBSTITUTE(G35,", ",", ")," + ",", ")&amp;", "))),ISNUMBER(SEARCH(", WA,",", "&amp;SUBSTITUTE(SUBSTITUTE(L35,", ",", ")," + ",", ")&amp;", "))),OR(NOT(ISNUMBER(SEARCH(", YA,",", "&amp;SUBSTITUTE(SUBSTITUTE(G35,", ",", ")," + ",", ")&amp;", "))),ISNUMBER(SEARCH(", YA,",", "&amp;SUBSTITUTE(SUBSTITUTE(L35,", ",", ")," + ",", ")&amp;", "))),OR(NOT(ISNUMBER(SEARCH(", DA/RA,",", "&amp;SUBSTITUTE(SUBSTITUTE(G35,", ",", ")," + ",", ")&amp;", "))),ISNUMBER(SEARCH(", DA/RA,",", "&amp;SUBSTITUTE(SUBSTITUTE(L35,", ",", ")," + ",", ")&amp;", "))),OR(NOT(ISNUMBER(SEARCH(", HA,",", "&amp;SUBSTITUTE(SUBSTITUTE(G35,", ",", ")," + ",", ")&amp;", "))),ISNUMBER(SEARCH(", HA,",", "&amp;SUBSTITUTE(SUBSTITUTE(L35,", ",", ")," + ",", ")&amp;", "))),OR(NOT(ISNUMBER(SEARCH(", LA,",", "&amp;SUBSTITUTE(SUBSTITUTE(G35,", ",", ")," + ",", ")&amp;", "))),ISNUMBER(SEARCH(", LA,",", "&amp;SUBSTITUTE(SUBSTITUTE(L35,", ",", ")," + ",", ")&amp;", "))),OR(NOT(ISNUMBER(SEARCH(", NGA,",", "&amp;SUBSTITUTE(SUBSTITUTE(G35,", ",", ")," + ",", ")&amp;", "))),ISNUMBER(SEARCH(", NGA,",", "&amp;SUBSTITUTE(SUBSTITUTE(L35,", ",", ")," + ",", ")&amp;", "))),OR(NOT(ISNUMBER(SEARCH(", PA,",", "&amp;SUBSTITUTE(SUBSTITUTE(G35,", ",", ")," + ",", ")&amp;", "))),ISNUMBER(SEARCH(", PA,",", "&amp;SUBSTITUTE(SUBSTITUTE(L35,", ",", ")," + ",", ")&amp;", "))),OR(NOT(ISNUMBER(SEARCH(", A,",", "&amp;SUBSTITUTE(SUBSTITUTE(L34,", ",", ")," + ",", ")&amp;", "))),ISNUMBER(SEARCH(", A,",", "&amp;SUBSTITUTE(SUBSTITUTE(L35,", ",", ")," + ",", ")&amp;", "))),OR(NOT(ISNUMBER(SEARCH(", E/I,",", "&amp;SUBSTITUTE(SUBSTITUTE(L34,", ",", ")," + ",", ")&amp;", "))),ISNUMBER(SEARCH(", E/I,",", "&amp;SUBSTITUTE(SUBSTITUTE(L35,", ",", ")," + ",", ")&amp;", "))),OR(NOT(ISNUMBER(SEARCH(", BA,",", "&amp;SUBSTITUTE(SUBSTITUTE(L34,", ",", ")," + ",", ")&amp;", "))),ISNUMBER(SEARCH(", BA,",", "&amp;SUBSTITUTE(SUBSTITUTE(L35,", ",", ")," + ",", ")&amp;", "))),OR(NOT(ISNUMBER(SEARCH(", MA,",", "&amp;SUBSTITUTE(SUBSTITUTE(L34,", ",", ")," + ",", ")&amp;", "))),ISNUMBER(SEARCH(", MA,",", "&amp;SUBSTITUTE(SUBSTITUTE(L35,", ",", ")," + ",", ")&amp;", "))),OR(NOT(ISNUMBER(SEARCH(", NA,",", "&amp;SUBSTITUTE(SUBSTITUTE(L34,", ",", ")," + ",", ")&amp;", "))),ISNUMBER(SEARCH(", NA,",", "&amp;SUBSTITUTE(SUBSTITUTE(L35,", ",", ")," + ",", ")&amp;", "))),OR(NOT(ISNUMBER(SEARCH(", TA,",", "&amp;SUBSTITUTE(SUBSTITUTE(L34,", ",", ")," + ",", ")&amp;", "))),ISNUMBER(SEARCH(", TA,",", "&amp;SUBSTITUTE(SUBSTITUTE(L35,", ",", ")," + ",", ")&amp;", "))),OR(NOT(ISNUMBER(SEARCH(", O/U,",", "&amp;SUBSTITUTE(SUBSTITUTE(L34,", ",", ")," + ",", ")&amp;", "))),ISNUMBER(SEARCH(", O/U,",", "&amp;SUBSTITUTE(SUBSTITUTE(L35,", ",", ")," + ",", ")&amp;", "))),OR(NOT(ISNUMBER(SEARCH(", KA,",", "&amp;SUBSTITUTE(SUBSTITUTE(L34,", ",", ")," + ",", ")&amp;", "))),ISNUMBER(SEARCH(", KA,",", "&amp;SUBSTITUTE(SUBSTITUTE(L35,", ",", ")," + ",", ")&amp;", "))),OR(NOT(ISNUMBER(SEARCH(", GA,",", "&amp;SUBSTITUTE(SUBSTITUTE(L34,", ",", ")," + ",", ")&amp;", "))),ISNUMBER(SEARCH(", GA,",", "&amp;SUBSTITUTE(SUBSTITUTE(L35,", ",", ")," + ",", ")&amp;", "))),OR(NOT(ISNUMBER(SEARCH(", SA,",", "&amp;SUBSTITUTE(SUBSTITUTE(L34,", ",", ")," + ",", ")&amp;", "))),ISNUMBER(SEARCH(", SA,",", "&amp;SUBSTITUTE(SUBSTITUTE(L35,", ",", ")," + ",", ")&amp;", "))),OR(NOT(ISNUMBER(SEARCH(", WA,",", "&amp;SUBSTITUTE(SUBSTITUTE(L34,", ",", ")," + ",", ")&amp;", "))),ISNUMBER(SEARCH(", WA,",", "&amp;SUBSTITUTE(SUBSTITUTE(L35,", ",", ")," + ",", ")&amp;", "))),OR(NOT(ISNUMBER(SEARCH(", YA,",", "&amp;SUBSTITUTE(SUBSTITUTE(L34,", ",", ")," + ",", ")&amp;", "))),ISNUMBER(SEARCH(", YA,",", "&amp;SUBSTITUTE(SUBSTITUTE(L35,", ",", ")," + ",", ")&amp;", "))),OR(NOT(ISNUMBER(SEARCH(", DA/RA,",", "&amp;SUBSTITUTE(SUBSTITUTE(L34,", ",", ")," + ",", ")&amp;", "))),ISNUMBER(SEARCH(", DA/RA,",", "&amp;SUBSTITUTE(SUBSTITUTE(L35,", ",", ")," + ",", ")&amp;", "))),OR(NOT(ISNUMBER(SEARCH(", HA,",", "&amp;SUBSTITUTE(SUBSTITUTE(L34,", ",", ")," + ",", ")&amp;", "))),ISNUMBER(SEARCH(", HA,",", "&amp;SUBSTITUTE(SUBSTITUTE(L35,", ",", ")," + ",", ")&amp;", "))),OR(NOT(ISNUMBER(SEARCH(", LA,",", "&amp;SUBSTITUTE(SUBSTITUTE(L34,", ",", ")," + ",", ")&amp;", "))),ISNUMBER(SEARCH(", LA,",", "&amp;SUBSTITUTE(SUBSTITUTE(L35,", ",", ")," + ",", ")&amp;", "))),OR(NOT(ISNUMBER(SEARCH(", NGA,",", "&amp;SUBSTITUTE(SUBSTITUTE(L34,", ",", ")," + ",", ")&amp;", "))),ISNUMBER(SEARCH(", NGA,",", "&amp;SUBSTITUTE(SUBSTITUTE(L35,", ",", ")," + ",", ")&amp;", "))),OR(NOT(ISNUMBER(SEARCH(", PA,",", "&amp;SUBSTITUTE(SUBSTITUTE(L34,", ",", ")," + ",", ")&amp;", "))),ISNUMBER(SEARCH(", PA,",", "&amp;SUBSTITUTE(SUBSTITUTE(L35,", ",", ")," + ",", ")&amp;", ")))),"PASS","FAIL")</x:f>
        <x:v>PASS</x:v>
      </x:c>
      <x:c r="N35" s="47" t="str">
        <x:v>Original</x:v>
      </x:c>
      <x:c r="O35" s="47" t="str"/>
      <x:c r="P35" s="47" t="str">
        <x:v>None</x:v>
      </x:c>
      <x:c r="Q35" s="47" t="str">
        <x:f>IF(OR(ISNUMBER(SEARCH("kudlit",LOWER(E35))),ISNUMBER(SEARCH("ᜒ",E35)),ISNUMBER(SEARCH("ᜓ",E35))),"Yes","No")</x:f>
        <x:v>No</x:v>
      </x:c>
      <x:c r="R35" s="47" t="str">
        <x:f>IF(OR(ISNUMBER(SEARCH("BE",E35)),ISNUMBER(SEARCH("BI",E35)),ISNUMBER(SEARCH("BO",E35)),ISNUMBER(SEARCH("BU",E35)),ISNUMBER(SEARCH("DE",E35)),ISNUMBER(SEARCH("DI",E35)),ISNUMBER(SEARCH("DO",E35)),ISNUMBER(SEARCH("DU",E35)),ISNUMBER(SEARCH("GE",E35)),ISNUMBER(SEARCH("GI",E35)),ISNUMBER(SEARCH("GO",E35)),ISNUMBER(SEARCH("GU",E35)),ISNUMBER(SEARCH("HE",E35)),ISNUMBER(SEARCH("HI",E35)),ISNUMBER(SEARCH("HO",E35)),ISNUMBER(SEARCH("HU",E35)),ISNUMBER(SEARCH("KE",E35)),ISNUMBER(SEARCH("KI",E35)),ISNUMBER(SEARCH("KO",E35)),ISNUMBER(SEARCH("KU",E35)),ISNUMBER(SEARCH("LE",E35)),ISNUMBER(SEARCH("LI",E35)),ISNUMBER(SEARCH("LO",E35)),ISNUMBER(SEARCH("LU",E35)),ISNUMBER(SEARCH("ME",E35)),ISNUMBER(SEARCH("MI",E35)),ISNUMBER(SEARCH("MO",E35)),ISNUMBER(SEARCH("MU",E35)),ISNUMBER(SEARCH("NE",E35)),ISNUMBER(SEARCH("NI",E35)),ISNUMBER(SEARCH("NO",E35)),ISNUMBER(SEARCH("NU",E35)),ISNUMBER(SEARCH("PE",E35)),ISNUMBER(SEARCH("PI",E35)),ISNUMBER(SEARCH("PO",E35)),ISNUMBER(SEARCH("PU",E35)),ISNUMBER(SEARCH("RE",E35)),ISNUMBER(SEARCH("RI",E35)),ISNUMBER(SEARCH("RO",E35)),ISNUMBER(SEARCH("RU",E35)),ISNUMBER(SEARCH("SE",E35)),ISNUMBER(SEARCH("SI",E35)),ISNUMBER(SEARCH("SO",E35)),ISNUMBER(SEARCH("SU",E35)),ISNUMBER(SEARCH("TE",E35)),ISNUMBER(SEARCH("TI",E35)),ISNUMBER(SEARCH("TO",E35)),ISNUMBER(SEARCH("TU",E35)),ISNUMBER(SEARCH("WE",E35)),ISNUMBER(SEARCH("WI",E35)),ISNUMBER(SEARCH("WO",E35)),ISNUMBER(SEARCH("WU",E35)),ISNUMBER(SEARCH("YE",E35)),ISNUMBER(SEARCH("YI",E35)),ISNUMBER(SEARCH("YO",E35)),ISNUMBER(SEARCH("YU",E35))),"Yes","No")</x:f>
        <x:v>No</x:v>
      </x:c>
      <x:c r="S35" s="47" t="str">
        <x:v>Era 3 - Pamana!D18</x:v>
      </x:c>
      <x:c r="T35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35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35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35," + "))=COUNTA(TEXTSPLIT(G35," + "))),"PASS","FAIL")</x:f>
        <x:v>PASS</x:v>
      </x:c>
      <x:c r="U35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35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"&amp;SUBSTITUTE(SUBSTITUTE(G35,", ",", ")," + ",", ")&amp;", "))),AND('Character Matrix'!$J$8&lt;&gt;"",'Character Matrix'!$Q$8&lt;&gt;"Missing",'Character Matrix'!$Q$8&lt;&gt;"Conflicting")),OR(NOT(ISNUMBER(SEARCH(", E/I,",", "&amp;SUBSTITUTE(SUBSTITUTE(G35,", ",", ")," + ",", ")&amp;", "))),AND('Character Matrix'!$J$9&lt;&gt;"",'Character Matrix'!$Q$9&lt;&gt;"Missing",'Character Matrix'!$Q$9&lt;&gt;"Conflicting")),OR(NOT(ISNUMBER(SEARCH(", BA,",", "&amp;SUBSTITUTE(SUBSTITUTE(G35,", ",", ")," + ",", ")&amp;", "))),AND('Character Matrix'!$J$10&lt;&gt;"",'Character Matrix'!$Q$10&lt;&gt;"Missing",'Character Matrix'!$Q$10&lt;&gt;"Conflicting")),OR(NOT(ISNUMBER(SEARCH(", MA,",", "&amp;SUBSTITUTE(SUBSTITUTE(G35,", ",", ")," + ",", ")&amp;", "))),AND('Character Matrix'!$J$11&lt;&gt;"",'Character Matrix'!$Q$11&lt;&gt;"Missing",'Character Matrix'!$Q$11&lt;&gt;"Conflicting")),OR(NOT(ISNUMBER(SEARCH(", NA,",", "&amp;SUBSTITUTE(SUBSTITUTE(G35,", ",", ")," + ",", ")&amp;", "))),AND('Character Matrix'!$J$12&lt;&gt;"",'Character Matrix'!$Q$12&lt;&gt;"Missing",'Character Matrix'!$Q$12&lt;&gt;"Conflicting")),OR(NOT(ISNUMBER(SEARCH(", TA,",", "&amp;SUBSTITUTE(SUBSTITUTE(G35,", ",", ")," + ",", ")&amp;", "))),AND('Character Matrix'!$J$13&lt;&gt;"",'Character Matrix'!$Q$13&lt;&gt;"Missing",'Character Matrix'!$Q$13&lt;&gt;"Conflicting")),OR(NOT(ISNUMBER(SEARCH(", O/U,",", "&amp;SUBSTITUTE(SUBSTITUTE(G35,", ",", ")," + ",", ")&amp;", "))),AND('Character Matrix'!$J$14&lt;&gt;"",'Character Matrix'!$Q$14&lt;&gt;"Missing",'Character Matrix'!$Q$14&lt;&gt;"Conflicting")),OR(NOT(ISNUMBER(SEARCH(", KA,",", "&amp;SUBSTITUTE(SUBSTITUTE(G35,", ",", ")," + ",", ")&amp;", "))),AND('Character Matrix'!$J$15&lt;&gt;"",'Character Matrix'!$Q$15&lt;&gt;"Missing",'Character Matrix'!$Q$15&lt;&gt;"Conflicting")),OR(NOT(ISNUMBER(SEARCH(", GA,",", "&amp;SUBSTITUTE(SUBSTITUTE(G35,", ",", ")," + ",", ")&amp;", "))),AND('Character Matrix'!$J$16&lt;&gt;"",'Character Matrix'!$Q$16&lt;&gt;"Missing",'Character Matrix'!$Q$16&lt;&gt;"Conflicting")),OR(NOT(ISNUMBER(SEARCH(", SA,",", "&amp;SUBSTITUTE(SUBSTITUTE(G35,", ",", ")," + ",", ")&amp;", "))),AND('Character Matrix'!$J$17&lt;&gt;"",'Character Matrix'!$Q$17&lt;&gt;"Missing",'Character Matrix'!$Q$17&lt;&gt;"Conflicting")),OR(NOT(ISNUMBER(SEARCH(", WA,",", "&amp;SUBSTITUTE(SUBSTITUTE(G35,", ",", ")," + ",", ")&amp;", "))),AND('Character Matrix'!$J$18&lt;&gt;"",'Character Matrix'!$Q$18&lt;&gt;"Missing",'Character Matrix'!$Q$18&lt;&gt;"Conflicting")),OR(NOT(ISNUMBER(SEARCH(", YA,",", "&amp;SUBSTITUTE(SUBSTITUTE(G35,", ",", ")," + ",", ")&amp;", "))),AND('Character Matrix'!$J$19&lt;&gt;"",'Character Matrix'!$Q$19&lt;&gt;"Missing",'Character Matrix'!$Q$19&lt;&gt;"Conflicting")),OR(NOT(ISNUMBER(SEARCH(", DA/RA,",", "&amp;SUBSTITUTE(SUBSTITUTE(G35,", ",", ")," + ",", ")&amp;", "))),AND('Character Matrix'!$J$20&lt;&gt;"",'Character Matrix'!$Q$20&lt;&gt;"Missing",'Character Matrix'!$Q$20&lt;&gt;"Conflicting")),OR(NOT(ISNUMBER(SEARCH(", HA,",", "&amp;SUBSTITUTE(SUBSTITUTE(G35,", ",", ")," + ",", ")&amp;", "))),AND('Character Matrix'!$J$21&lt;&gt;"",'Character Matrix'!$Q$21&lt;&gt;"Missing",'Character Matrix'!$Q$21&lt;&gt;"Conflicting")),OR(NOT(ISNUMBER(SEARCH(", LA,",", "&amp;SUBSTITUTE(SUBSTITUTE(G35,", ",", ")," + ",", ")&amp;", "))),AND('Character Matrix'!$J$22&lt;&gt;"",'Character Matrix'!$Q$22&lt;&gt;"Missing",'Character Matrix'!$Q$22&lt;&gt;"Conflicting")),OR(NOT(ISNUMBER(SEARCH(", NGA,",", "&amp;SUBSTITUTE(SUBSTITUTE(G35,", ",", ")," + ",", ")&amp;", "))),AND('Character Matrix'!$J$23&lt;&gt;"",'Character Matrix'!$Q$23&lt;&gt;"Missing",'Character Matrix'!$Q$23&lt;&gt;"Conflicting")),OR(NOT(ISNUMBER(SEARCH(", PA,",", "&amp;SUBSTITUTE(SUBSTITUTE(G35,", ",", ")," + ",", ")&amp;", "))),AND('Character Matrix'!$J$24&lt;&gt;"",'Character Matrix'!$Q$24&lt;&gt;"Missing",'Character Matrix'!$Q$24&lt;&gt;"Conflicting"))),"PASS","FAIL")</x:f>
        <x:v>PASS</x:v>
      </x:c>
      <x:c r="V35" s="48" t="str">
        <x:f>IF(AND(M35="PASS",Q35="No",R35="No",T35="PASS",U35="PASS",OR(K35="N/A",K35="PASS")),"PASS","FAIL")</x:f>
        <x:v>PASS</x:v>
      </x:c>
    </x:row>
    <x:row r="36" ht="52" customHeight="1">
      <x:c r="A36" s="46" t="n">
        <x:v>15</x:v>
      </x:c>
      <x:c r="B36" s="47" t="str">
        <x:v>Pamana</x:v>
      </x:c>
      <x:c r="C36" s="47" t="n">
        <x:v>5</x:v>
      </x:c>
      <x:c r="D36" s="47" t="n">
        <x:v>1</x:v>
      </x:c>
      <x:c r="E36" s="47" t="str">
        <x:v>PAMANA</x:v>
      </x:c>
      <x:c r="F36" s="47" t="str">
        <x:v>PA + MA + NA</x:v>
      </x:c>
      <x:c r="G36" s="47" t="str">
        <x:v>PA + MA + NA</x:v>
      </x:c>
      <x:c r="H36" s="47" t="str">
        <x:v>NA</x:v>
      </x:c>
      <x:c r="I36" s="47" t="str">
        <x:v>NA</x:v>
      </x:c>
      <x:c r="J36" s="47" t="str"/>
      <x:c r="K36" s="47" t="str">
        <x:f>IF(D36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36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36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36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36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N/A</x:v>
      </x:c>
      <x:c r="L36" s="47" t="str">
        <x:v>A, E/I, BA, MA, NA, TA, O/U, KA, GA, SA, WA, YA, DA/RA, HA, LA, NGA, PA</x:v>
      </x:c>
      <x:c r="M36" s="47" t="str">
        <x:f>IF(AND(LEN(L36)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36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36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36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"&amp;SUBSTITUTE(SUBSTITUTE(G36,", ",", ")," + ",", ")&amp;", "))),ISNUMBER(SEARCH(", A,",", "&amp;SUBSTITUTE(SUBSTITUTE(L36,", ",", ")," + ",", ")&amp;", "))),OR(NOT(ISNUMBER(SEARCH(", E/I,",", "&amp;SUBSTITUTE(SUBSTITUTE(G36,", ",", ")," + ",", ")&amp;", "))),ISNUMBER(SEARCH(", E/I,",", "&amp;SUBSTITUTE(SUBSTITUTE(L36,", ",", ")," + ",", ")&amp;", "))),OR(NOT(ISNUMBER(SEARCH(", BA,",", "&amp;SUBSTITUTE(SUBSTITUTE(G36,", ",", ")," + ",", ")&amp;", "))),ISNUMBER(SEARCH(", BA,",", "&amp;SUBSTITUTE(SUBSTITUTE(L36,", ",", ")," + ",", ")&amp;", "))),OR(NOT(ISNUMBER(SEARCH(", MA,",", "&amp;SUBSTITUTE(SUBSTITUTE(G36,", ",", ")," + ",", ")&amp;", "))),ISNUMBER(SEARCH(", MA,",", "&amp;SUBSTITUTE(SUBSTITUTE(L36,", ",", ")," + ",", ")&amp;", "))),OR(NOT(ISNUMBER(SEARCH(", NA,",", "&amp;SUBSTITUTE(SUBSTITUTE(G36,", ",", ")," + ",", ")&amp;", "))),ISNUMBER(SEARCH(", NA,",", "&amp;SUBSTITUTE(SUBSTITUTE(L36,", ",", ")," + ",", ")&amp;", "))),OR(NOT(ISNUMBER(SEARCH(", TA,",", "&amp;SUBSTITUTE(SUBSTITUTE(G36,", ",", ")," + ",", ")&amp;", "))),ISNUMBER(SEARCH(", TA,",", "&amp;SUBSTITUTE(SUBSTITUTE(L36,", ",", ")," + ",", ")&amp;", "))),OR(NOT(ISNUMBER(SEARCH(", O/U,",", "&amp;SUBSTITUTE(SUBSTITUTE(G36,", ",", ")," + ",", ")&amp;", "))),ISNUMBER(SEARCH(", O/U,",", "&amp;SUBSTITUTE(SUBSTITUTE(L36,", ",", ")," + ",", ")&amp;", "))),OR(NOT(ISNUMBER(SEARCH(", KA,",", "&amp;SUBSTITUTE(SUBSTITUTE(G36,", ",", ")," + ",", ")&amp;", "))),ISNUMBER(SEARCH(", KA,",", "&amp;SUBSTITUTE(SUBSTITUTE(L36,", ",", ")," + ",", ")&amp;", "))),OR(NOT(ISNUMBER(SEARCH(", GA,",", "&amp;SUBSTITUTE(SUBSTITUTE(G36,", ",", ")," + ",", ")&amp;", "))),ISNUMBER(SEARCH(", GA,",", "&amp;SUBSTITUTE(SUBSTITUTE(L36,", ",", ")," + ",", ")&amp;", "))),OR(NOT(ISNUMBER(SEARCH(", SA,",", "&amp;SUBSTITUTE(SUBSTITUTE(G36,", ",", ")," + ",", ")&amp;", "))),ISNUMBER(SEARCH(", SA,",", "&amp;SUBSTITUTE(SUBSTITUTE(L36,", ",", ")," + ",", ")&amp;", "))),OR(NOT(ISNUMBER(SEARCH(", WA,",", "&amp;SUBSTITUTE(SUBSTITUTE(G36,", ",", ")," + ",", ")&amp;", "))),ISNUMBER(SEARCH(", WA,",", "&amp;SUBSTITUTE(SUBSTITUTE(L36,", ",", ")," + ",", ")&amp;", "))),OR(NOT(ISNUMBER(SEARCH(", YA,",", "&amp;SUBSTITUTE(SUBSTITUTE(G36,", ",", ")," + ",", ")&amp;", "))),ISNUMBER(SEARCH(", YA,",", "&amp;SUBSTITUTE(SUBSTITUTE(L36,", ",", ")," + ",", ")&amp;", "))),OR(NOT(ISNUMBER(SEARCH(", DA/RA,",", "&amp;SUBSTITUTE(SUBSTITUTE(G36,", ",", ")," + ",", ")&amp;", "))),ISNUMBER(SEARCH(", DA/RA,",", "&amp;SUBSTITUTE(SUBSTITUTE(L36,", ",", ")," + ",", ")&amp;", "))),OR(NOT(ISNUMBER(SEARCH(", HA,",", "&amp;SUBSTITUTE(SUBSTITUTE(G36,", ",", ")," + ",", ")&amp;", "))),ISNUMBER(SEARCH(", HA,",", "&amp;SUBSTITUTE(SUBSTITUTE(L36,", ",", ")," + ",", ")&amp;", "))),OR(NOT(ISNUMBER(SEARCH(", LA,",", "&amp;SUBSTITUTE(SUBSTITUTE(G36,", ",", ")," + ",", ")&amp;", "))),ISNUMBER(SEARCH(", LA,",", "&amp;SUBSTITUTE(SUBSTITUTE(L36,", ",", ")," + ",", ")&amp;", "))),OR(NOT(ISNUMBER(SEARCH(", NGA,",", "&amp;SUBSTITUTE(SUBSTITUTE(G36,", ",", ")," + ",", ")&amp;", "))),ISNUMBER(SEARCH(", NGA,",", "&amp;SUBSTITUTE(SUBSTITUTE(L36,", ",", ")," + ",", ")&amp;", "))),OR(NOT(ISNUMBER(SEARCH(", PA,",", "&amp;SUBSTITUTE(SUBSTITUTE(G36,", ",", ")," + ",", ")&amp;", "))),ISNUMBER(SEARCH(", PA,",", "&amp;SUBSTITUTE(SUBSTITUTE(L36,", ",", ")," + ",", ")&amp;", "))),OR(NOT(ISNUMBER(SEARCH(", A,",", "&amp;SUBSTITUTE(SUBSTITUTE(L35,", ",", ")," + ",", ")&amp;", "))),ISNUMBER(SEARCH(", A,",", "&amp;SUBSTITUTE(SUBSTITUTE(L36,", ",", ")," + ",", ")&amp;", "))),OR(NOT(ISNUMBER(SEARCH(", E/I,",", "&amp;SUBSTITUTE(SUBSTITUTE(L35,", ",", ")," + ",", ")&amp;", "))),ISNUMBER(SEARCH(", E/I,",", "&amp;SUBSTITUTE(SUBSTITUTE(L36,", ",", ")," + ",", ")&amp;", "))),OR(NOT(ISNUMBER(SEARCH(", BA,",", "&amp;SUBSTITUTE(SUBSTITUTE(L35,", ",", ")," + ",", ")&amp;", "))),ISNUMBER(SEARCH(", BA,",", "&amp;SUBSTITUTE(SUBSTITUTE(L36,", ",", ")," + ",", ")&amp;", "))),OR(NOT(ISNUMBER(SEARCH(", MA,",", "&amp;SUBSTITUTE(SUBSTITUTE(L35,", ",", ")," + ",", ")&amp;", "))),ISNUMBER(SEARCH(", MA,",", "&amp;SUBSTITUTE(SUBSTITUTE(L36,", ",", ")," + ",", ")&amp;", "))),OR(NOT(ISNUMBER(SEARCH(", NA,",", "&amp;SUBSTITUTE(SUBSTITUTE(L35,", ",", ")," + ",", ")&amp;", "))),ISNUMBER(SEARCH(", NA,",", "&amp;SUBSTITUTE(SUBSTITUTE(L36,", ",", ")," + ",", ")&amp;", "))),OR(NOT(ISNUMBER(SEARCH(", TA,",", "&amp;SUBSTITUTE(SUBSTITUTE(L35,", ",", ")," + ",", ")&amp;", "))),ISNUMBER(SEARCH(", TA,",", "&amp;SUBSTITUTE(SUBSTITUTE(L36,", ",", ")," + ",", ")&amp;", "))),OR(NOT(ISNUMBER(SEARCH(", O/U,",", "&amp;SUBSTITUTE(SUBSTITUTE(L35,", ",", ")," + ",", ")&amp;", "))),ISNUMBER(SEARCH(", O/U,",", "&amp;SUBSTITUTE(SUBSTITUTE(L36,", ",", ")," + ",", ")&amp;", "))),OR(NOT(ISNUMBER(SEARCH(", KA,",", "&amp;SUBSTITUTE(SUBSTITUTE(L35,", ",", ")," + ",", ")&amp;", "))),ISNUMBER(SEARCH(", KA,",", "&amp;SUBSTITUTE(SUBSTITUTE(L36,", ",", ")," + ",", ")&amp;", "))),OR(NOT(ISNUMBER(SEARCH(", GA,",", "&amp;SUBSTITUTE(SUBSTITUTE(L35,", ",", ")," + ",", ")&amp;", "))),ISNUMBER(SEARCH(", GA,",", "&amp;SUBSTITUTE(SUBSTITUTE(L36,", ",", ")," + ",", ")&amp;", "))),OR(NOT(ISNUMBER(SEARCH(", SA,",", "&amp;SUBSTITUTE(SUBSTITUTE(L35,", ",", ")," + ",", ")&amp;", "))),ISNUMBER(SEARCH(", SA,",", "&amp;SUBSTITUTE(SUBSTITUTE(L36,", ",", ")," + ",", ")&amp;", "))),OR(NOT(ISNUMBER(SEARCH(", WA,",", "&amp;SUBSTITUTE(SUBSTITUTE(L35,", ",", ")," + ",", ")&amp;", "))),ISNUMBER(SEARCH(", WA,",", "&amp;SUBSTITUTE(SUBSTITUTE(L36,", ",", ")," + ",", ")&amp;", "))),OR(NOT(ISNUMBER(SEARCH(", YA,",", "&amp;SUBSTITUTE(SUBSTITUTE(L35,", ",", ")," + ",", ")&amp;", "))),ISNUMBER(SEARCH(", YA,",", "&amp;SUBSTITUTE(SUBSTITUTE(L36,", ",", ")," + ",", ")&amp;", "))),OR(NOT(ISNUMBER(SEARCH(", DA/RA,",", "&amp;SUBSTITUTE(SUBSTITUTE(L35,", ",", ")," + ",", ")&amp;", "))),ISNUMBER(SEARCH(", DA/RA,",", "&amp;SUBSTITUTE(SUBSTITUTE(L36,", ",", ")," + ",", ")&amp;", "))),OR(NOT(ISNUMBER(SEARCH(", HA,",", "&amp;SUBSTITUTE(SUBSTITUTE(L35,", ",", ")," + ",", ")&amp;", "))),ISNUMBER(SEARCH(", HA,",", "&amp;SUBSTITUTE(SUBSTITUTE(L36,", ",", ")," + ",", ")&amp;", "))),OR(NOT(ISNUMBER(SEARCH(", LA,",", "&amp;SUBSTITUTE(SUBSTITUTE(L35,", ",", ")," + ",", ")&amp;", "))),ISNUMBER(SEARCH(", LA,",", "&amp;SUBSTITUTE(SUBSTITUTE(L36,", ",", ")," + ",", ")&amp;", "))),OR(NOT(ISNUMBER(SEARCH(", NGA,",", "&amp;SUBSTITUTE(SUBSTITUTE(L35,", ",", ")," + ",", ")&amp;", "))),ISNUMBER(SEARCH(", NGA,",", "&amp;SUBSTITUTE(SUBSTITUTE(L36,", ",", ")," + ",", ")&amp;", "))),OR(NOT(ISNUMBER(SEARCH(", PA,",", "&amp;SUBSTITUTE(SUBSTITUTE(L35,", ",", ")," + ",", ")&amp;", "))),ISNUMBER(SEARCH(", PA,",", "&amp;SUBSTITUTE(SUBSTITUTE(L36,", ",", ")," + ",", ")&amp;", ")))),"PASS","FAIL")</x:f>
        <x:v>PASS</x:v>
      </x:c>
      <x:c r="N36" s="47" t="str">
        <x:v>Original</x:v>
      </x:c>
      <x:c r="O36" s="47" t="str"/>
      <x:c r="P36" s="47" t="str">
        <x:v>None</x:v>
      </x:c>
      <x:c r="Q36" s="47" t="str">
        <x:f>IF(OR(ISNUMBER(SEARCH("kudlit",LOWER(E36))),ISNUMBER(SEARCH("ᜒ",E36)),ISNUMBER(SEARCH("ᜓ",E36))),"Yes","No")</x:f>
        <x:v>No</x:v>
      </x:c>
      <x:c r="R36" s="47" t="str">
        <x:f>IF(OR(ISNUMBER(SEARCH("BE",E36)),ISNUMBER(SEARCH("BI",E36)),ISNUMBER(SEARCH("BO",E36)),ISNUMBER(SEARCH("BU",E36)),ISNUMBER(SEARCH("DE",E36)),ISNUMBER(SEARCH("DI",E36)),ISNUMBER(SEARCH("DO",E36)),ISNUMBER(SEARCH("DU",E36)),ISNUMBER(SEARCH("GE",E36)),ISNUMBER(SEARCH("GI",E36)),ISNUMBER(SEARCH("GO",E36)),ISNUMBER(SEARCH("GU",E36)),ISNUMBER(SEARCH("HE",E36)),ISNUMBER(SEARCH("HI",E36)),ISNUMBER(SEARCH("HO",E36)),ISNUMBER(SEARCH("HU",E36)),ISNUMBER(SEARCH("KE",E36)),ISNUMBER(SEARCH("KI",E36)),ISNUMBER(SEARCH("KO",E36)),ISNUMBER(SEARCH("KU",E36)),ISNUMBER(SEARCH("LE",E36)),ISNUMBER(SEARCH("LI",E36)),ISNUMBER(SEARCH("LO",E36)),ISNUMBER(SEARCH("LU",E36)),ISNUMBER(SEARCH("ME",E36)),ISNUMBER(SEARCH("MI",E36)),ISNUMBER(SEARCH("MO",E36)),ISNUMBER(SEARCH("MU",E36)),ISNUMBER(SEARCH("NE",E36)),ISNUMBER(SEARCH("NI",E36)),ISNUMBER(SEARCH("NO",E36)),ISNUMBER(SEARCH("NU",E36)),ISNUMBER(SEARCH("PE",E36)),ISNUMBER(SEARCH("PI",E36)),ISNUMBER(SEARCH("PO",E36)),ISNUMBER(SEARCH("PU",E36)),ISNUMBER(SEARCH("RE",E36)),ISNUMBER(SEARCH("RI",E36)),ISNUMBER(SEARCH("RO",E36)),ISNUMBER(SEARCH("RU",E36)),ISNUMBER(SEARCH("SE",E36)),ISNUMBER(SEARCH("SI",E36)),ISNUMBER(SEARCH("SO",E36)),ISNUMBER(SEARCH("SU",E36)),ISNUMBER(SEARCH("TE",E36)),ISNUMBER(SEARCH("TI",E36)),ISNUMBER(SEARCH("TO",E36)),ISNUMBER(SEARCH("TU",E36)),ISNUMBER(SEARCH("WE",E36)),ISNUMBER(SEARCH("WI",E36)),ISNUMBER(SEARCH("WO",E36)),ISNUMBER(SEARCH("WU",E36)),ISNUMBER(SEARCH("YE",E36)),ISNUMBER(SEARCH("YI",E36)),ISNUMBER(SEARCH("YO",E36)),ISNUMBER(SEARCH("YU",E36))),"Yes","No")</x:f>
        <x:v>No</x:v>
      </x:c>
      <x:c r="S36" s="47" t="str">
        <x:v>Era 3 - Pamana!D19 (two final focus words)</x:v>
      </x:c>
      <x:c r="T36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36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36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36," + "))=COUNTA(TEXTSPLIT(G36," + "))),"PASS","FAIL")</x:f>
        <x:v>PASS</x:v>
      </x:c>
      <x:c r="U36" s="47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36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"&amp;SUBSTITUTE(SUBSTITUTE(G36,", ",", ")," + ",", ")&amp;", "))),AND('Character Matrix'!$J$8&lt;&gt;"",'Character Matrix'!$Q$8&lt;&gt;"Missing",'Character Matrix'!$Q$8&lt;&gt;"Conflicting")),OR(NOT(ISNUMBER(SEARCH(", E/I,",", "&amp;SUBSTITUTE(SUBSTITUTE(G36,", ",", ")," + ",", ")&amp;", "))),AND('Character Matrix'!$J$9&lt;&gt;"",'Character Matrix'!$Q$9&lt;&gt;"Missing",'Character Matrix'!$Q$9&lt;&gt;"Conflicting")),OR(NOT(ISNUMBER(SEARCH(", BA,",", "&amp;SUBSTITUTE(SUBSTITUTE(G36,", ",", ")," + ",", ")&amp;", "))),AND('Character Matrix'!$J$10&lt;&gt;"",'Character Matrix'!$Q$10&lt;&gt;"Missing",'Character Matrix'!$Q$10&lt;&gt;"Conflicting")),OR(NOT(ISNUMBER(SEARCH(", MA,",", "&amp;SUBSTITUTE(SUBSTITUTE(G36,", ",", ")," + ",", ")&amp;", "))),AND('Character Matrix'!$J$11&lt;&gt;"",'Character Matrix'!$Q$11&lt;&gt;"Missing",'Character Matrix'!$Q$11&lt;&gt;"Conflicting")),OR(NOT(ISNUMBER(SEARCH(", NA,",", "&amp;SUBSTITUTE(SUBSTITUTE(G36,", ",", ")," + ",", ")&amp;", "))),AND('Character Matrix'!$J$12&lt;&gt;"",'Character Matrix'!$Q$12&lt;&gt;"Missing",'Character Matrix'!$Q$12&lt;&gt;"Conflicting")),OR(NOT(ISNUMBER(SEARCH(", TA,",", "&amp;SUBSTITUTE(SUBSTITUTE(G36,", ",", ")," + ",", ")&amp;", "))),AND('Character Matrix'!$J$13&lt;&gt;"",'Character Matrix'!$Q$13&lt;&gt;"Missing",'Character Matrix'!$Q$13&lt;&gt;"Conflicting")),OR(NOT(ISNUMBER(SEARCH(", O/U,",", "&amp;SUBSTITUTE(SUBSTITUTE(G36,", ",", ")," + ",", ")&amp;", "))),AND('Character Matrix'!$J$14&lt;&gt;"",'Character Matrix'!$Q$14&lt;&gt;"Missing",'Character Matrix'!$Q$14&lt;&gt;"Conflicting")),OR(NOT(ISNUMBER(SEARCH(", KA,",", "&amp;SUBSTITUTE(SUBSTITUTE(G36,", ",", ")," + ",", ")&amp;", "))),AND('Character Matrix'!$J$15&lt;&gt;"",'Character Matrix'!$Q$15&lt;&gt;"Missing",'Character Matrix'!$Q$15&lt;&gt;"Conflicting")),OR(NOT(ISNUMBER(SEARCH(", GA,",", "&amp;SUBSTITUTE(SUBSTITUTE(G36,", ",", ")," + ",", ")&amp;", "))),AND('Character Matrix'!$J$16&lt;&gt;"",'Character Matrix'!$Q$16&lt;&gt;"Missing",'Character Matrix'!$Q$16&lt;&gt;"Conflicting")),OR(NOT(ISNUMBER(SEARCH(", SA,",", "&amp;SUBSTITUTE(SUBSTITUTE(G36,", ",", ")," + ",", ")&amp;", "))),AND('Character Matrix'!$J$17&lt;&gt;"",'Character Matrix'!$Q$17&lt;&gt;"Missing",'Character Matrix'!$Q$17&lt;&gt;"Conflicting")),OR(NOT(ISNUMBER(SEARCH(", WA,",", "&amp;SUBSTITUTE(SUBSTITUTE(G36,", ",", ")," + ",", ")&amp;", "))),AND('Character Matrix'!$J$18&lt;&gt;"",'Character Matrix'!$Q$18&lt;&gt;"Missing",'Character Matrix'!$Q$18&lt;&gt;"Conflicting")),OR(NOT(ISNUMBER(SEARCH(", YA,",", "&amp;SUBSTITUTE(SUBSTITUTE(G36,", ",", ")," + ",", ")&amp;", "))),AND('Character Matrix'!$J$19&lt;&gt;"",'Character Matrix'!$Q$19&lt;&gt;"Missing",'Character Matrix'!$Q$19&lt;&gt;"Conflicting")),OR(NOT(ISNUMBER(SEARCH(", DA/RA,",", "&amp;SUBSTITUTE(SUBSTITUTE(G36,", ",", ")," + ",", ")&amp;", "))),AND('Character Matrix'!$J$20&lt;&gt;"",'Character Matrix'!$Q$20&lt;&gt;"Missing",'Character Matrix'!$Q$20&lt;&gt;"Conflicting")),OR(NOT(ISNUMBER(SEARCH(", HA,",", "&amp;SUBSTITUTE(SUBSTITUTE(G36,", ",", ")," + ",", ")&amp;", "))),AND('Character Matrix'!$J$21&lt;&gt;"",'Character Matrix'!$Q$21&lt;&gt;"Missing",'Character Matrix'!$Q$21&lt;&gt;"Conflicting")),OR(NOT(ISNUMBER(SEARCH(", LA,",", "&amp;SUBSTITUTE(SUBSTITUTE(G36,", ",", ")," + ",", ")&amp;", "))),AND('Character Matrix'!$J$22&lt;&gt;"",'Character Matrix'!$Q$22&lt;&gt;"Missing",'Character Matrix'!$Q$22&lt;&gt;"Conflicting")),OR(NOT(ISNUMBER(SEARCH(", NGA,",", "&amp;SUBSTITUTE(SUBSTITUTE(G36,", ",", ")," + ",", ")&amp;", "))),AND('Character Matrix'!$J$23&lt;&gt;"",'Character Matrix'!$Q$23&lt;&gt;"Missing",'Character Matrix'!$Q$23&lt;&gt;"Conflicting")),OR(NOT(ISNUMBER(SEARCH(", PA,",", "&amp;SUBSTITUTE(SUBSTITUTE(G36,", ",", ")," + ",", ")&amp;", "))),AND('Character Matrix'!$J$24&lt;&gt;"",'Character Matrix'!$Q$24&lt;&gt;"Missing",'Character Matrix'!$Q$24&lt;&gt;"Conflicting"))),"PASS","FAIL")</x:f>
        <x:v>PASS</x:v>
      </x:c>
      <x:c r="V36" s="48" t="str">
        <x:f>IF(AND(M36="PASS",Q36="No",R36="No",T36="PASS",U36="PASS",OR(K36="N/A",K36="PASS")),"PASS","FAIL")</x:f>
        <x:v>PASS</x:v>
      </x:c>
    </x:row>
    <x:row r="37" ht="52" customHeight="1">
      <x:c r="A37" s="49" t="n">
        <x:v>15</x:v>
      </x:c>
      <x:c r="B37" s="50" t="str">
        <x:v>Pamana</x:v>
      </x:c>
      <x:c r="C37" s="50" t="n">
        <x:v>5</x:v>
      </x:c>
      <x:c r="D37" s="50" t="n">
        <x:v>2</x:v>
      </x:c>
      <x:c r="E37" s="50" t="str">
        <x:v>MALAYA</x:v>
      </x:c>
      <x:c r="F37" s="50" t="str">
        <x:v>MA + LA + YA</x:v>
      </x:c>
      <x:c r="G37" s="50" t="str">
        <x:v>MA + LA + YA</x:v>
      </x:c>
      <x:c r="H37" s="50" t="str">
        <x:v>YA</x:v>
      </x:c>
      <x:c r="I37" s="50" t="str">
        <x:v>YA</x:v>
      </x:c>
      <x:c r="J37" s="50" t="str">
        <x:v>YA</x:v>
      </x:c>
      <x:c r="K37" s="50" t="str">
        <x:f>IF(D37=1,"N/A",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H37,"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37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I37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J37,"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),"PASS","FAIL"))</x:f>
        <x:v>PASS</x:v>
      </x:c>
      <x:c r="L37" s="50" t="str">
        <x:v>A, E/I, BA, MA, NA, TA, O/U, KA, GA, SA, WA, YA, DA/RA, HA, LA, NGA, PA</x:v>
      </x:c>
      <x:c r="M37" s="50" t="str">
        <x:f>IF(AND(LEN(L37)&gt;0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37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37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L37,",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"&amp;SUBSTITUTE(SUBSTITUTE(G37,", ",", ")," + ",", ")&amp;", "))),ISNUMBER(SEARCH(", A,",", "&amp;SUBSTITUTE(SUBSTITUTE(L37,", ",", ")," + ",", ")&amp;", "))),OR(NOT(ISNUMBER(SEARCH(", E/I,",", "&amp;SUBSTITUTE(SUBSTITUTE(G37,", ",", ")," + ",", ")&amp;", "))),ISNUMBER(SEARCH(", E/I,",", "&amp;SUBSTITUTE(SUBSTITUTE(L37,", ",", ")," + ",", ")&amp;", "))),OR(NOT(ISNUMBER(SEARCH(", BA,",", "&amp;SUBSTITUTE(SUBSTITUTE(G37,", ",", ")," + ",", ")&amp;", "))),ISNUMBER(SEARCH(", BA,",", "&amp;SUBSTITUTE(SUBSTITUTE(L37,", ",", ")," + ",", ")&amp;", "))),OR(NOT(ISNUMBER(SEARCH(", MA,",", "&amp;SUBSTITUTE(SUBSTITUTE(G37,", ",", ")," + ",", ")&amp;", "))),ISNUMBER(SEARCH(", MA,",", "&amp;SUBSTITUTE(SUBSTITUTE(L37,", ",", ")," + ",", ")&amp;", "))),OR(NOT(ISNUMBER(SEARCH(", NA,",", "&amp;SUBSTITUTE(SUBSTITUTE(G37,", ",", ")," + ",", ")&amp;", "))),ISNUMBER(SEARCH(", NA,",", "&amp;SUBSTITUTE(SUBSTITUTE(L37,", ",", ")," + ",", ")&amp;", "))),OR(NOT(ISNUMBER(SEARCH(", TA,",", "&amp;SUBSTITUTE(SUBSTITUTE(G37,", ",", ")," + ",", ")&amp;", "))),ISNUMBER(SEARCH(", TA,",", "&amp;SUBSTITUTE(SUBSTITUTE(L37,", ",", ")," + ",", ")&amp;", "))),OR(NOT(ISNUMBER(SEARCH(", O/U,",", "&amp;SUBSTITUTE(SUBSTITUTE(G37,", ",", ")," + ",", ")&amp;", "))),ISNUMBER(SEARCH(", O/U,",", "&amp;SUBSTITUTE(SUBSTITUTE(L37,", ",", ")," + ",", ")&amp;", "))),OR(NOT(ISNUMBER(SEARCH(", KA,",", "&amp;SUBSTITUTE(SUBSTITUTE(G37,", ",", ")," + ",", ")&amp;", "))),ISNUMBER(SEARCH(", KA,",", "&amp;SUBSTITUTE(SUBSTITUTE(L37,", ",", ")," + ",", ")&amp;", "))),OR(NOT(ISNUMBER(SEARCH(", GA,",", "&amp;SUBSTITUTE(SUBSTITUTE(G37,", ",", ")," + ",", ")&amp;", "))),ISNUMBER(SEARCH(", GA,",", "&amp;SUBSTITUTE(SUBSTITUTE(L37,", ",", ")," + ",", ")&amp;", "))),OR(NOT(ISNUMBER(SEARCH(", SA,",", "&amp;SUBSTITUTE(SUBSTITUTE(G37,", ",", ")," + ",", ")&amp;", "))),ISNUMBER(SEARCH(", SA,",", "&amp;SUBSTITUTE(SUBSTITUTE(L37,", ",", ")," + ",", ")&amp;", "))),OR(NOT(ISNUMBER(SEARCH(", WA,",", "&amp;SUBSTITUTE(SUBSTITUTE(G37,", ",", ")," + ",", ")&amp;", "))),ISNUMBER(SEARCH(", WA,",", "&amp;SUBSTITUTE(SUBSTITUTE(L37,", ",", ")," + ",", ")&amp;", "))),OR(NOT(ISNUMBER(SEARCH(", YA,",", "&amp;SUBSTITUTE(SUBSTITUTE(G37,", ",", ")," + ",", ")&amp;", "))),ISNUMBER(SEARCH(", YA,",", "&amp;SUBSTITUTE(SUBSTITUTE(L37,", ",", ")," + ",", ")&amp;", "))),OR(NOT(ISNUMBER(SEARCH(", DA/RA,",", "&amp;SUBSTITUTE(SUBSTITUTE(G37,", ",", ")," + ",", ")&amp;", "))),ISNUMBER(SEARCH(", DA/RA,",", "&amp;SUBSTITUTE(SUBSTITUTE(L37,", ",", ")," + ",", ")&amp;", "))),OR(NOT(ISNUMBER(SEARCH(", HA,",", "&amp;SUBSTITUTE(SUBSTITUTE(G37,", ",", ")," + ",", ")&amp;", "))),ISNUMBER(SEARCH(", HA,",", "&amp;SUBSTITUTE(SUBSTITUTE(L37,", ",", ")," + ",", ")&amp;", "))),OR(NOT(ISNUMBER(SEARCH(", LA,",", "&amp;SUBSTITUTE(SUBSTITUTE(G37,", ",", ")," + ",", ")&amp;", "))),ISNUMBER(SEARCH(", LA,",", "&amp;SUBSTITUTE(SUBSTITUTE(L37,", ",", ")," + ",", ")&amp;", "))),OR(NOT(ISNUMBER(SEARCH(", NGA,",", "&amp;SUBSTITUTE(SUBSTITUTE(G37,", ",", ")," + ",", ")&amp;", "))),ISNUMBER(SEARCH(", NGA,",", "&amp;SUBSTITUTE(SUBSTITUTE(L37,", ",", ")," + ",", ")&amp;", "))),OR(NOT(ISNUMBER(SEARCH(", PA,",", "&amp;SUBSTITUTE(SUBSTITUTE(G37,", ",", ")," + ",", ")&amp;", "))),ISNUMBER(SEARCH(", PA,",", "&amp;SUBSTITUTE(SUBSTITUTE(L37,", ",", ")," + ",", ")&amp;", "))),OR(NOT(ISNUMBER(SEARCH(", A,",", "&amp;SUBSTITUTE(SUBSTITUTE(L36,", ",", ")," + ",", ")&amp;", "))),ISNUMBER(SEARCH(", A,",", "&amp;SUBSTITUTE(SUBSTITUTE(L37,", ",", ")," + ",", ")&amp;", "))),OR(NOT(ISNUMBER(SEARCH(", E/I,",", "&amp;SUBSTITUTE(SUBSTITUTE(L36,", ",", ")," + ",", ")&amp;", "))),ISNUMBER(SEARCH(", E/I,",", "&amp;SUBSTITUTE(SUBSTITUTE(L37,", ",", ")," + ",", ")&amp;", "))),OR(NOT(ISNUMBER(SEARCH(", BA,",", "&amp;SUBSTITUTE(SUBSTITUTE(L36,", ",", ")," + ",", ")&amp;", "))),ISNUMBER(SEARCH(", BA,",", "&amp;SUBSTITUTE(SUBSTITUTE(L37,", ",", ")," + ",", ")&amp;", "))),OR(NOT(ISNUMBER(SEARCH(", MA,",", "&amp;SUBSTITUTE(SUBSTITUTE(L36,", ",", ")," + ",", ")&amp;", "))),ISNUMBER(SEARCH(", MA,",", "&amp;SUBSTITUTE(SUBSTITUTE(L37,", ",", ")," + ",", ")&amp;", "))),OR(NOT(ISNUMBER(SEARCH(", NA,",", "&amp;SUBSTITUTE(SUBSTITUTE(L36,", ",", ")," + ",", ")&amp;", "))),ISNUMBER(SEARCH(", NA,",", "&amp;SUBSTITUTE(SUBSTITUTE(L37,", ",", ")," + ",", ")&amp;", "))),OR(NOT(ISNUMBER(SEARCH(", TA,",", "&amp;SUBSTITUTE(SUBSTITUTE(L36,", ",", ")," + ",", ")&amp;", "))),ISNUMBER(SEARCH(", TA,",", "&amp;SUBSTITUTE(SUBSTITUTE(L37,", ",", ")," + ",", ")&amp;", "))),OR(NOT(ISNUMBER(SEARCH(", O/U,",", "&amp;SUBSTITUTE(SUBSTITUTE(L36,", ",", ")," + ",", ")&amp;", "))),ISNUMBER(SEARCH(", O/U,",", "&amp;SUBSTITUTE(SUBSTITUTE(L37,", ",", ")," + ",", ")&amp;", "))),OR(NOT(ISNUMBER(SEARCH(", KA,",", "&amp;SUBSTITUTE(SUBSTITUTE(L36,", ",", ")," + ",", ")&amp;", "))),ISNUMBER(SEARCH(", KA,",", "&amp;SUBSTITUTE(SUBSTITUTE(L37,", ",", ")," + ",", ")&amp;", "))),OR(NOT(ISNUMBER(SEARCH(", GA,",", "&amp;SUBSTITUTE(SUBSTITUTE(L36,", ",", ")," + ",", ")&amp;", "))),ISNUMBER(SEARCH(", GA,",", "&amp;SUBSTITUTE(SUBSTITUTE(L37,", ",", ")," + ",", ")&amp;", "))),OR(NOT(ISNUMBER(SEARCH(", SA,",", "&amp;SUBSTITUTE(SUBSTITUTE(L36,", ",", ")," + ",", ")&amp;", "))),ISNUMBER(SEARCH(", SA,",", "&amp;SUBSTITUTE(SUBSTITUTE(L37,", ",", ")," + ",", ")&amp;", "))),OR(NOT(ISNUMBER(SEARCH(", WA,",", "&amp;SUBSTITUTE(SUBSTITUTE(L36,", ",", ")," + ",", ")&amp;", "))),ISNUMBER(SEARCH(", WA,",", "&amp;SUBSTITUTE(SUBSTITUTE(L37,", ",", ")," + ",", ")&amp;", "))),OR(NOT(ISNUMBER(SEARCH(", YA,",", "&amp;SUBSTITUTE(SUBSTITUTE(L36,", ",", ")," + ",", ")&amp;", "))),ISNUMBER(SEARCH(", YA,",", "&amp;SUBSTITUTE(SUBSTITUTE(L37,", ",", ")," + ",", ")&amp;", "))),OR(NOT(ISNUMBER(SEARCH(", DA/RA,",", "&amp;SUBSTITUTE(SUBSTITUTE(L36,", ",", ")," + ",", ")&amp;", "))),ISNUMBER(SEARCH(", DA/RA,",", "&amp;SUBSTITUTE(SUBSTITUTE(L37,", ",", ")," + ",", ")&amp;", "))),OR(NOT(ISNUMBER(SEARCH(", HA,",", "&amp;SUBSTITUTE(SUBSTITUTE(L36,", ",", ")," + ",", ")&amp;", "))),ISNUMBER(SEARCH(", HA,",", "&amp;SUBSTITUTE(SUBSTITUTE(L37,", ",", ")," + ",", ")&amp;", "))),OR(NOT(ISNUMBER(SEARCH(", LA,",", "&amp;SUBSTITUTE(SUBSTITUTE(L36,", ",", ")," + ",", ")&amp;", "))),ISNUMBER(SEARCH(", LA,",", "&amp;SUBSTITUTE(SUBSTITUTE(L37,", ",", ")," + ",", ")&amp;", "))),OR(NOT(ISNUMBER(SEARCH(", NGA,",", "&amp;SUBSTITUTE(SUBSTITUTE(L36,", ",", ")," + ",", ")&amp;", "))),ISNUMBER(SEARCH(", NGA,",", "&amp;SUBSTITUTE(SUBSTITUTE(L37,", ",", ")," + ",", ")&amp;", "))),OR(NOT(ISNUMBER(SEARCH(", PA,",", "&amp;SUBSTITUTE(SUBSTITUTE(L36,", ",", ")," + ",", ")&amp;", "))),ISNUMBER(SEARCH(", PA,",", "&amp;SUBSTITUTE(SUBSTITUTE(L37,", ",", ")," + ",", ")&amp;", ")))),"PASS","FAIL")</x:f>
        <x:v>PASS</x:v>
      </x:c>
      <x:c r="N37" s="50" t="str">
        <x:v>Original</x:v>
      </x:c>
      <x:c r="O37" s="50" t="str"/>
      <x:c r="P37" s="50" t="str">
        <x:v>None</x:v>
      </x:c>
      <x:c r="Q37" s="50" t="str">
        <x:f>IF(OR(ISNUMBER(SEARCH("kudlit",LOWER(E37))),ISNUMBER(SEARCH("ᜒ",E37)),ISNUMBER(SEARCH("ᜓ",E37))),"Yes","No")</x:f>
        <x:v>No</x:v>
      </x:c>
      <x:c r="R37" s="50" t="str">
        <x:f>IF(OR(ISNUMBER(SEARCH("BE",E37)),ISNUMBER(SEARCH("BI",E37)),ISNUMBER(SEARCH("BO",E37)),ISNUMBER(SEARCH("BU",E37)),ISNUMBER(SEARCH("DE",E37)),ISNUMBER(SEARCH("DI",E37)),ISNUMBER(SEARCH("DO",E37)),ISNUMBER(SEARCH("DU",E37)),ISNUMBER(SEARCH("GE",E37)),ISNUMBER(SEARCH("GI",E37)),ISNUMBER(SEARCH("GO",E37)),ISNUMBER(SEARCH("GU",E37)),ISNUMBER(SEARCH("HE",E37)),ISNUMBER(SEARCH("HI",E37)),ISNUMBER(SEARCH("HO",E37)),ISNUMBER(SEARCH("HU",E37)),ISNUMBER(SEARCH("KE",E37)),ISNUMBER(SEARCH("KI",E37)),ISNUMBER(SEARCH("KO",E37)),ISNUMBER(SEARCH("KU",E37)),ISNUMBER(SEARCH("LE",E37)),ISNUMBER(SEARCH("LI",E37)),ISNUMBER(SEARCH("LO",E37)),ISNUMBER(SEARCH("LU",E37)),ISNUMBER(SEARCH("ME",E37)),ISNUMBER(SEARCH("MI",E37)),ISNUMBER(SEARCH("MO",E37)),ISNUMBER(SEARCH("MU",E37)),ISNUMBER(SEARCH("NE",E37)),ISNUMBER(SEARCH("NI",E37)),ISNUMBER(SEARCH("NO",E37)),ISNUMBER(SEARCH("NU",E37)),ISNUMBER(SEARCH("PE",E37)),ISNUMBER(SEARCH("PI",E37)),ISNUMBER(SEARCH("PO",E37)),ISNUMBER(SEARCH("PU",E37)),ISNUMBER(SEARCH("RE",E37)),ISNUMBER(SEARCH("RI",E37)),ISNUMBER(SEARCH("RO",E37)),ISNUMBER(SEARCH("RU",E37)),ISNUMBER(SEARCH("SE",E37)),ISNUMBER(SEARCH("SI",E37)),ISNUMBER(SEARCH("SO",E37)),ISNUMBER(SEARCH("SU",E37)),ISNUMBER(SEARCH("TE",E37)),ISNUMBER(SEARCH("TI",E37)),ISNUMBER(SEARCH("TO",E37)),ISNUMBER(SEARCH("TU",E37)),ISNUMBER(SEARCH("WE",E37)),ISNUMBER(SEARCH("WI",E37)),ISNUMBER(SEARCH("WO",E37)),ISNUMBER(SEARCH("WU",E37)),ISNUMBER(SEARCH("YE",E37)),ISNUMBER(SEARCH("YI",E37)),ISNUMBER(SEARCH("YO",E37)),ISNUMBER(SEARCH("YU",E37))),"Yes","No")</x:f>
        <x:v>No</x:v>
      </x:c>
      <x:c r="S37" s="50" t="str">
        <x:v>Era 3 - Pamana!D19 (two final focus words)</x:v>
      </x:c>
      <x:c r="T37" s="50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F37," + ","|")&amp;"|","|NGA|","|16|"),"|NGA|","|16|"),"|NGA|","|16|"),"|DA|","|13|"),"|DA|","|13|"),"|DA|","|13|"),"|RA|","|13|"),"|RA|","|13|"),"|RA|","|13|"),"|E|","|02|"),"|E|","|02|"),"|E|","|02|"),"|I|","|02|"),"|I|","|02|"),"|I|","|02|"),"|O|","|07|"),"|O|","|07|"),"|O|","|07|"),"|U|","|07|"),"|U|","|07|"),"|U|","|07|"),"|A|","|01|"),"|A|","|01|"),"|A|","|01|"),"|BA|","|03|"),"|BA|","|03|"),"|BA|","|03|"),"|MA|","|04|"),"|MA|","|04|"),"|MA|","|04|"),"|NA|","|05|"),"|NA|","|05|"),"|NA|","|05|"),"|TA|","|06|"),"|TA|","|06|"),"|TA|","|06|"),"|KA|","|08|"),"|KA|","|08|"),"|KA|","|08|"),"|GA|","|09|"),"|GA|","|09|"),"|GA|","|09|"),"|SA|","|10|"),"|SA|","|10|"),"|SA|","|10|"),"|WA|","|11|"),"|WA|","|11|"),"|WA|","|11|"),"|YA|","|12|"),"|YA|","|12|"),"|YA|","|12|"),"|HA|","|14|"),"|HA|","|14|"),"|HA|","|14|"),"|LA|","|15|"),"|LA|","|15|"),"|LA|","|15|"),"|PA|","|17|"),"|PA|","|17|"),"|PA|","|17|")=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37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,COUNTA(TEXTSPLIT(F37," + "))=COUNTA(TEXTSPLIT(G37," + "))),"PASS","FAIL")</x:f>
        <x:v>PASS</x:v>
      </x:c>
      <x:c r="U37" s="50" t="str">
        <x:f>IF(AN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"|"&amp;SUBSTITUTE(G37," + ","|")&amp;"|","|A|","|01|"),"|A|","|01|"),"|A|","|01|"),"|E/I|","|02|"),"|E/I|","|02|"),"|E/I|","|02|"),"|BA|","|03|"),"|BA|","|03|"),"|BA|","|03|"),"|MA|","|04|"),"|MA|","|04|"),"|MA|","|04|"),"|NA|","|05|"),"|NA|","|05|"),"|NA|","|05|"),"|TA|","|06|"),"|TA|","|06|"),"|TA|","|06|"),"|O/U|","|07|"),"|O/U|","|07|"),"|O/U|","|07|"),"|KA|","|08|"),"|KA|","|08|"),"|KA|","|08|"),"|GA|","|09|"),"|GA|","|09|"),"|GA|","|09|"),"|SA|","|10|"),"|SA|","|10|"),"|SA|","|10|"),"|WA|","|11|"),"|WA|","|11|"),"|WA|","|11|"),"|YA|","|12|"),"|YA|","|12|"),"|YA|","|12|"),"|DA/RA|","|13|"),"|DA/RA|","|13|"),"|DA/RA|","|13|"),"|HA|","|14|"),"|HA|","|14|"),"|HA|","|14|"),"|LA|","|15|"),"|LA|","|15|"),"|LA|","|15|"),"|NGA|","|16|"),"|NGA|","|16|"),"|NGA|","|16|"),"|PA|","|17|"),"|PA|","|17|"),"|PA|","|17|")&lt;&gt;"",OR(NOT(ISNUMBER(SEARCH(", A,",", "&amp;SUBSTITUTE(SUBSTITUTE(G37,", ",", ")," + ",", ")&amp;", "))),AND('Character Matrix'!$J$8&lt;&gt;"",'Character Matrix'!$Q$8&lt;&gt;"Missing",'Character Matrix'!$Q$8&lt;&gt;"Conflicting")),OR(NOT(ISNUMBER(SEARCH(", E/I,",", "&amp;SUBSTITUTE(SUBSTITUTE(G37,", ",", ")," + ",", ")&amp;", "))),AND('Character Matrix'!$J$9&lt;&gt;"",'Character Matrix'!$Q$9&lt;&gt;"Missing",'Character Matrix'!$Q$9&lt;&gt;"Conflicting")),OR(NOT(ISNUMBER(SEARCH(", BA,",", "&amp;SUBSTITUTE(SUBSTITUTE(G37,", ",", ")," + ",", ")&amp;", "))),AND('Character Matrix'!$J$10&lt;&gt;"",'Character Matrix'!$Q$10&lt;&gt;"Missing",'Character Matrix'!$Q$10&lt;&gt;"Conflicting")),OR(NOT(ISNUMBER(SEARCH(", MA,",", "&amp;SUBSTITUTE(SUBSTITUTE(G37,", ",", ")," + ",", ")&amp;", "))),AND('Character Matrix'!$J$11&lt;&gt;"",'Character Matrix'!$Q$11&lt;&gt;"Missing",'Character Matrix'!$Q$11&lt;&gt;"Conflicting")),OR(NOT(ISNUMBER(SEARCH(", NA,",", "&amp;SUBSTITUTE(SUBSTITUTE(G37,", ",", ")," + ",", ")&amp;", "))),AND('Character Matrix'!$J$12&lt;&gt;"",'Character Matrix'!$Q$12&lt;&gt;"Missing",'Character Matrix'!$Q$12&lt;&gt;"Conflicting")),OR(NOT(ISNUMBER(SEARCH(", TA,",", "&amp;SUBSTITUTE(SUBSTITUTE(G37,", ",", ")," + ",", ")&amp;", "))),AND('Character Matrix'!$J$13&lt;&gt;"",'Character Matrix'!$Q$13&lt;&gt;"Missing",'Character Matrix'!$Q$13&lt;&gt;"Conflicting")),OR(NOT(ISNUMBER(SEARCH(", O/U,",", "&amp;SUBSTITUTE(SUBSTITUTE(G37,", ",", ")," + ",", ")&amp;", "))),AND('Character Matrix'!$J$14&lt;&gt;"",'Character Matrix'!$Q$14&lt;&gt;"Missing",'Character Matrix'!$Q$14&lt;&gt;"Conflicting")),OR(NOT(ISNUMBER(SEARCH(", KA,",", "&amp;SUBSTITUTE(SUBSTITUTE(G37,", ",", ")," + ",", ")&amp;", "))),AND('Character Matrix'!$J$15&lt;&gt;"",'Character Matrix'!$Q$15&lt;&gt;"Missing",'Character Matrix'!$Q$15&lt;&gt;"Conflicting")),OR(NOT(ISNUMBER(SEARCH(", GA,",", "&amp;SUBSTITUTE(SUBSTITUTE(G37,", ",", ")," + ",", ")&amp;", "))),AND('Character Matrix'!$J$16&lt;&gt;"",'Character Matrix'!$Q$16&lt;&gt;"Missing",'Character Matrix'!$Q$16&lt;&gt;"Conflicting")),OR(NOT(ISNUMBER(SEARCH(", SA,",", "&amp;SUBSTITUTE(SUBSTITUTE(G37,", ",", ")," + ",", ")&amp;", "))),AND('Character Matrix'!$J$17&lt;&gt;"",'Character Matrix'!$Q$17&lt;&gt;"Missing",'Character Matrix'!$Q$17&lt;&gt;"Conflicting")),OR(NOT(ISNUMBER(SEARCH(", WA,",", "&amp;SUBSTITUTE(SUBSTITUTE(G37,", ",", ")," + ",", ")&amp;", "))),AND('Character Matrix'!$J$18&lt;&gt;"",'Character Matrix'!$Q$18&lt;&gt;"Missing",'Character Matrix'!$Q$18&lt;&gt;"Conflicting")),OR(NOT(ISNUMBER(SEARCH(", YA,",", "&amp;SUBSTITUTE(SUBSTITUTE(G37,", ",", ")," + ",", ")&amp;", "))),AND('Character Matrix'!$J$19&lt;&gt;"",'Character Matrix'!$Q$19&lt;&gt;"Missing",'Character Matrix'!$Q$19&lt;&gt;"Conflicting")),OR(NOT(ISNUMBER(SEARCH(", DA/RA,",", "&amp;SUBSTITUTE(SUBSTITUTE(G37,", ",", ")," + ",", ")&amp;", "))),AND('Character Matrix'!$J$20&lt;&gt;"",'Character Matrix'!$Q$20&lt;&gt;"Missing",'Character Matrix'!$Q$20&lt;&gt;"Conflicting")),OR(NOT(ISNUMBER(SEARCH(", HA,",", "&amp;SUBSTITUTE(SUBSTITUTE(G37,", ",", ")," + ",", ")&amp;", "))),AND('Character Matrix'!$J$21&lt;&gt;"",'Character Matrix'!$Q$21&lt;&gt;"Missing",'Character Matrix'!$Q$21&lt;&gt;"Conflicting")),OR(NOT(ISNUMBER(SEARCH(", LA,",", "&amp;SUBSTITUTE(SUBSTITUTE(G37,", ",", ")," + ",", ")&amp;", "))),AND('Character Matrix'!$J$22&lt;&gt;"",'Character Matrix'!$Q$22&lt;&gt;"Missing",'Character Matrix'!$Q$22&lt;&gt;"Conflicting")),OR(NOT(ISNUMBER(SEARCH(", NGA,",", "&amp;SUBSTITUTE(SUBSTITUTE(G37,", ",", ")," + ",", ")&amp;", "))),AND('Character Matrix'!$J$23&lt;&gt;"",'Character Matrix'!$Q$23&lt;&gt;"Missing",'Character Matrix'!$Q$23&lt;&gt;"Conflicting")),OR(NOT(ISNUMBER(SEARCH(", PA,",", "&amp;SUBSTITUTE(SUBSTITUTE(G37,", ",", ")," + ",", ")&amp;", "))),AND('Character Matrix'!$J$24&lt;&gt;"",'Character Matrix'!$Q$24&lt;&gt;"Missing",'Character Matrix'!$Q$24&lt;&gt;"Conflicting"))),"PASS","FAIL")</x:f>
        <x:v>PASS</x:v>
      </x:c>
      <x:c r="V37" s="51" t="str">
        <x:f>IF(AND(M37="PASS",Q37="No",R37="No",T37="PASS",U37="PASS",OR(K37="N/A",K37="PASS")),"PASS","FAIL")</x:f>
        <x:v>PASS</x:v>
      </x:c>
    </x:row>
  </x:sheetData>
  <x:mergeCells>
    <x:mergeCell ref="A1:V1"/>
    <x:mergeCell ref="A6:V6"/>
  </x:mergeCells>
  <x:conditionalFormatting sqref="K8:V37">
    <x:cfRule type="containsText" dxfId="6" priority="1" operator="containsText" text="Existing"/>
    <x:cfRule type="containsText" dxfId="7" priority="2" operator="containsText" text="PASS"/>
    <x:cfRule type="containsText" dxfId="8" priority="3" operator="containsText" text="Planned"/>
    <x:cfRule type="containsText" dxfId="9" priority="4" operator="containsText" text="Partial"/>
    <x:cfRule type="containsText" dxfId="10" priority="5" operator="containsText" text="Conflict"/>
    <x:cfRule type="containsText" dxfId="11" priority="6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186edede3cb54f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12.220000267028809" hidden="0" customWidth="1"/>
    <x:col min="3" max="3" width="24.440000534057617" hidden="0" customWidth="1"/>
    <x:col min="4" max="4" width="37.779998779296875" hidden="0" customWidth="1"/>
    <x:col min="5" max="5" width="37.779998779296875" hidden="0" customWidth="1"/>
    <x:col min="6" max="6" width="8.329999923706055" hidden="0" customWidth="1"/>
    <x:col min="7" max="7" width="16.670000076293945" hidden="0" customWidth="1"/>
    <x:col min="8" max="8" width="17.219999313354492" hidden="0" customWidth="1"/>
    <x:col min="9" max="9" width="15" hidden="0" customWidth="1"/>
  </x:cols>
  <x:sheetData>
    <x:row r="1" ht="34" customHeight="1">
      <x:c r="A1" s="4" t="str">
        <x:v>TW-SPK-004 — Repository and Source Discrepancies</x:v>
      </x:c>
      <x:c r="B1" s="4" t="str">
        <x:v>TW-SPK-004 — Repository and Source Discrepancies</x:v>
      </x:c>
      <x:c r="C1" s="4" t="str">
        <x:v>TW-SPK-004 — Repository and Source Discrepancies</x:v>
      </x:c>
      <x:c r="D1" s="4" t="str">
        <x:v>TW-SPK-004 — Repository and Source Discrepancies</x:v>
      </x:c>
      <x:c r="E1" s="4" t="str">
        <x:v>TW-SPK-004 — Repository and Source Discrepancies</x:v>
      </x:c>
      <x:c r="F1" s="4" t="str">
        <x:v>TW-SPK-004 — Repository and Source Discrepancies</x:v>
      </x:c>
      <x:c r="G1" s="4" t="str">
        <x:v>TW-SPK-004 — Repository and Source Discrepancies</x:v>
      </x:c>
      <x:c r="H1" s="4" t="str">
        <x:v>TW-SPK-004 — Repository and Source Discrepancies</x:v>
      </x:c>
      <x:c r="I1" s="4" t="str">
        <x:v>TW-SPK-004 — Repository and Source Discrepancies</x:v>
      </x:c>
    </x:row>
    <x:row r="3">
      <x:c r="A3" s="67" t="str">
        <x:v>This spike records discrepancies only. Gameplay code, ScriptableObjects, templates, audio, and level configurations remain unchanged.</x:v>
      </x:c>
      <x:c r="B3" s="67" t="str">
        <x:v>This spike records discrepancies only. Gameplay code, ScriptableObjects, templates, audio, and level configurations remain unchanged.</x:v>
      </x:c>
      <x:c r="C3" s="67" t="str">
        <x:v>This spike records discrepancies only. Gameplay code, ScriptableObjects, templates, audio, and level configurations remain unchanged.</x:v>
      </x:c>
      <x:c r="D3" s="67" t="str">
        <x:v>This spike records discrepancies only. Gameplay code, ScriptableObjects, templates, audio, and level configurations remain unchanged.</x:v>
      </x:c>
      <x:c r="E3" s="67" t="str">
        <x:v>This spike records discrepancies only. Gameplay code, ScriptableObjects, templates, audio, and level configurations remain unchanged.</x:v>
      </x:c>
      <x:c r="F3" s="67" t="str">
        <x:v>This spike records discrepancies only. Gameplay code, ScriptableObjects, templates, audio, and level configurations remain unchanged.</x:v>
      </x:c>
      <x:c r="G3" s="67" t="str">
        <x:v>This spike records discrepancies only. Gameplay code, ScriptableObjects, templates, audio, and level configurations remain unchanged.</x:v>
      </x:c>
      <x:c r="H3" s="67" t="str">
        <x:v>This spike records discrepancies only. Gameplay code, ScriptableObjects, templates, audio, and level configurations remain unchanged.</x:v>
      </x:c>
      <x:c r="I3" s="67" t="str">
        <x:v>This spike records discrepancies only. Gameplay code, ScriptableObjects, templates, audio, and level configurations remain unchanged.</x:v>
      </x:c>
    </x:row>
    <x:row r="5" ht="36" customHeight="1">
      <x:c r="A5" s="22" t="str">
        <x:v>ID</x:v>
      </x:c>
      <x:c r="B5" s="23" t="str">
        <x:v>Category</x:v>
      </x:c>
      <x:c r="C5" s="23" t="str">
        <x:v>Source / Evidence</x:v>
      </x:c>
      <x:c r="D5" s="23" t="str">
        <x:v>Current Value</x:v>
      </x:c>
      <x:c r="E5" s="23" t="str">
        <x:v>Expected Resolution</x:v>
      </x:c>
      <x:c r="F5" s="23" t="str">
        <x:v>Severity</x:v>
      </x:c>
      <x:c r="G5" s="23" t="str">
        <x:v>Affected Scope</x:v>
      </x:c>
      <x:c r="H5" s="23" t="str">
        <x:v>Owning Follow-up</x:v>
      </x:c>
      <x:c r="I5" s="24" t="str">
        <x:v>Disposition</x:v>
      </x:c>
    </x:row>
    <x:row r="6" ht="72" customHeight="1">
      <x:c r="A6" s="43" t="str">
        <x:v>D-001</x:v>
      </x:c>
      <x:c r="B6" s="44" t="str">
        <x:v>Source control</x:v>
      </x:c>
      <x:c r="C6" s="44" t="str">
        <x:v>files/backlog/CORE GAME MECHANICS.xlsx</x:v>
      </x:c>
      <x:c r="D6" s="44" t="str">
        <x:v>Approved source checksum 4a2996ef4f4d3102b4657b1e8bf2b54b2183bc7748d3931a6bb674d2f92ecc9d; Jira records 34dad782a025b3acd3dcfc9bdfb2ce5c595fe81e6bd1789c9042849b63c27eb7.</x:v>
      </x:c>
      <x:c r="E6" s="44" t="str">
        <x:v>Update Jira/upload notes to the approved checksum while retaining the old value as historical evidence.</x:v>
      </x:c>
      <x:c r="F6" s="44" t="str">
        <x:v>High</x:v>
      </x:c>
      <x:c r="G6" s="44" t="str">
        <x:v>All 30 word slots</x:v>
      </x:c>
      <x:c r="H6" s="44" t="str">
        <x:v>SALIN-167 / Jira owner</x:v>
      </x:c>
      <x:c r="I6" s="45" t="str">
        <x:v>Accepted for draft by user on 2026-08-13</x:v>
      </x:c>
    </x:row>
    <x:row r="7" ht="72" customHeight="1">
      <x:c r="A7" s="46" t="str">
        <x:v>D-002</x:v>
      </x:c>
      <x:c r="B7" s="47" t="str">
        <x:v>Planning source</x:v>
      </x:c>
      <x:c r="C7" s="47" t="str">
        <x:v>Repository docs</x:v>
      </x:c>
      <x:c r="D7" s="47" t="str">
        <x:v>docs/backlog/technical-work.md is absent from this checkout and Git history.</x:v>
      </x:c>
      <x:c r="E7" s="47" t="str">
        <x:v>Restore or supersede the cited file; this Jira body is the planning-source substitute.</x:v>
      </x:c>
      <x:c r="F7" s="47" t="str">
        <x:v>Medium</x:v>
      </x:c>
      <x:c r="G7" s="47" t="str">
        <x:v>Review traceability</x:v>
      </x:c>
      <x:c r="H7" s="47" t="str">
        <x:v>Repository documentation owner</x:v>
      </x:c>
      <x:c r="I7" s="48" t="str">
        <x:v>Open</x:v>
      </x:c>
    </x:row>
    <x:row r="8" ht="72" customHeight="1">
      <x:c r="A8" s="46" t="str">
        <x:v>D-003</x:v>
      </x:c>
      <x:c r="B8" s="47" t="str">
        <x:v>Canonical identity</x:v>
      </x:c>
      <x:c r="C8" s="47" t="str">
        <x:v>CharacterRegistry_Default.asset and character assets</x:v>
      </x:c>
      <x:c r="D8" s="47" t="str">
        <x:v>18 registry entries and 18 BaybayinCharacterSO assets, including separate DA and RA.</x:v>
      </x:c>
      <x:c r="E8" s="47" t="str">
        <x:v>17 canonical visual identities with one DA/RA record and 18 contextual value records under the workbook convention.</x:v>
      </x:c>
      <x:c r="F8" s="47" t="str">
        <x:v>High</x:v>
      </x:c>
      <x:c r="G8" s="47" t="str">
        <x:v>DA/RA; registry; migrations</x:v>
      </x:c>
      <x:c r="H8" s="47" t="str">
        <x:v>SALIN-170/171</x:v>
      </x:c>
      <x:c r="I8" s="48" t="str">
        <x:v>Open</x:v>
      </x:c>
    </x:row>
    <x:row r="9" ht="72" customHeight="1">
      <x:c r="A9" s="46" t="str">
        <x:v>D-004</x:v>
      </x:c>
      <x:c r="B9" s="47" t="str">
        <x:v>Glyph identity</x:v>
      </x:c>
      <x:c r="C9" s="47" t="str">
        <x:v>Assets/Resources/DA.png; RA.png</x:v>
      </x:c>
      <x:c r="D9" s="47" t="str">
        <x:v>DA and RA display PNGs have different SHA-256 values; RA almanac/badge variants are absent.</x:v>
      </x:c>
      <x:c r="E9" s="47" t="str">
        <x:v>One approved DA/RA visual identity used consistently across display, almanac, and badge surfaces.</x:v>
      </x:c>
      <x:c r="F9" s="47" t="str">
        <x:v>High</x:v>
      </x:c>
      <x:c r="G9" s="47" t="str">
        <x:v>DA/RA visuals</x:v>
      </x:c>
      <x:c r="H9" s="47" t="str">
        <x:v>SALIN-176</x:v>
      </x:c>
      <x:c r="I9" s="48" t="str">
        <x:v>Open</x:v>
      </x:c>
    </x:row>
    <x:row r="10" ht="72" customHeight="1">
      <x:c r="A10" s="46" t="str">
        <x:v>D-005</x:v>
      </x:c>
      <x:c r="B10" s="47" t="str">
        <x:v>Template validation</x:v>
      </x:c>
      <x:c r="C10" s="47" t="str">
        <x:v>BaybayinTemplateValidator.cs</x:v>
      </x:c>
      <x:c r="D10" s="47" t="str">
        <x:v>Validator expects 18 character IDs and treats DA and RA as separate coverage.</x:v>
      </x:c>
      <x:c r="E10" s="47" t="str">
        <x:v>Validator and recognition identity follow 17 visuals while retaining contextual DA/RA pronunciation.</x:v>
      </x:c>
      <x:c r="F10" s="47" t="str">
        <x:v>High</x:v>
      </x:c>
      <x:c r="G10" s="47" t="str">
        <x:v>Recognition validation</x:v>
      </x:c>
      <x:c r="H10" s="47" t="str">
        <x:v>SALIN-170 / recognition owner</x:v>
      </x:c>
      <x:c r="I10" s="48" t="str">
        <x:v>Open</x:v>
      </x:c>
    </x:row>
    <x:row r="11" ht="72" customHeight="1">
      <x:c r="A11" s="46" t="str">
        <x:v>D-006</x:v>
      </x:c>
      <x:c r="B11" s="47" t="str">
        <x:v>Template inventory</x:v>
      </x:c>
      <x:c r="C11" s="47" t="str">
        <x:v>Assets/Resources/Templates</x:v>
      </x:c>
      <x:c r="D11" s="47" t="str">
        <x:v>121 variants; DA=12, HA=15, KA=12, SA=12 exceed the validator's stated 3–5 range.</x:v>
      </x:c>
      <x:c r="E11" s="47" t="str">
        <x:v>Review and approve the intended variant policy; keep only validated variants in the active set.</x:v>
      </x:c>
      <x:c r="F11" s="47" t="str">
        <x:v>Medium</x:v>
      </x:c>
      <x:c r="G11" s="47" t="str">
        <x:v>DA, HA, KA, SA</x:v>
      </x:c>
      <x:c r="H11" s="47" t="str">
        <x:v>Recognition owner</x:v>
      </x:c>
      <x:c r="I11" s="48" t="str">
        <x:v>Open</x:v>
      </x:c>
    </x:row>
    <x:row r="12" ht="72" customHeight="1">
      <x:c r="A12" s="46" t="str">
        <x:v>D-007</x:v>
      </x:c>
      <x:c r="B12" s="47" t="str">
        <x:v>Pronunciation audio</x:v>
      </x:c>
      <x:c r="C12" s="47" t="str">
        <x:v>Assets/Audio/Pronunciation</x:v>
      </x:c>
      <x:c r="D12" s="47" t="str">
        <x:v>7 linked clips: BA, DA, HA, KA, O, SA, WA; remaining contextual values are absent or unverified.</x:v>
      </x:c>
      <x:c r="E12" s="47" t="str">
        <x:v>Existing or planned approved pronunciation coverage for every matrix value and target-word syllable occurrence.</x:v>
      </x:c>
      <x:c r="F12" s="47" t="str">
        <x:v>High</x:v>
      </x:c>
      <x:c r="G12" s="47" t="str">
        <x:v>All words and character rows</x:v>
      </x:c>
      <x:c r="H12" s="47" t="str">
        <x:v>SALIN-176 / TW-RES-001</x:v>
      </x:c>
      <x:c r="I12" s="48" t="str">
        <x:v>Open</x:v>
      </x:c>
    </x:row>
    <x:row r="13" ht="72" customHeight="1">
      <x:c r="A13" s="46" t="str">
        <x:v>D-008</x:v>
      </x:c>
      <x:c r="B13" s="47" t="str">
        <x:v>Presentation assets</x:v>
      </x:c>
      <x:c r="C13" s="47" t="str">
        <x:v>BaybayinCharacterSO visual fields</x:v>
      </x:c>
      <x:c r="D13" s="47" t="str">
        <x:v>Only a subset of character assets has almanac and badge sprites; many rely on display-only/fallback content.</x:v>
      </x:c>
      <x:c r="E13" s="47" t="str">
        <x:v>Approved glyph presentation for required gameplay, almanac, and badge surfaces, or an explicit planned status.</x:v>
      </x:c>
      <x:c r="F13" s="47" t="str">
        <x:v>Medium</x:v>
      </x:c>
      <x:c r="G13" s="47" t="str">
        <x:v>Character presentation</x:v>
      </x:c>
      <x:c r="H13" s="47" t="str">
        <x:v>SALIN-176</x:v>
      </x:c>
      <x:c r="I13" s="48" t="str">
        <x:v>Open</x:v>
      </x:c>
    </x:row>
    <x:row r="14" ht="72" customHeight="1">
      <x:c r="A14" s="46" t="str">
        <x:v>D-L01</x:v>
      </x:c>
      <x:c r="B14" s="47" t="str">
        <x:v>Level roster</x:v>
      </x:c>
      <x:c r="C14" s="47" t="str">
        <x:v>Assets/ScriptableObjects/Levels/Level1_Config.asset</x:v>
      </x:c>
      <x:c r="D14" s="47" t="str">
        <x:v>BA, OU, HA</x:v>
      </x:c>
      <x:c r="E14" s="47" t="str">
        <x:v>A, EI, MA, NA</x:v>
      </x:c>
      <x:c r="F14" s="47" t="str">
        <x:v>High</x:v>
      </x:c>
      <x:c r="G14" s="47" t="str">
        <x:v>Level 1 cumulative symbol pool</x:v>
      </x:c>
      <x:c r="H14" s="47" t="str">
        <x:v>SALIN-172</x:v>
      </x:c>
      <x:c r="I14" s="48" t="str">
        <x:v>Open</x:v>
      </x:c>
    </x:row>
    <x:row r="15" ht="72" customHeight="1">
      <x:c r="A15" s="46" t="str">
        <x:v>D-L02</x:v>
      </x:c>
      <x:c r="B15" s="47" t="str">
        <x:v>Level roster</x:v>
      </x:c>
      <x:c r="C15" s="47" t="str">
        <x:v>Assets/ScriptableObjects/Levels/Level2_Config.asset</x:v>
      </x:c>
      <x:c r="D15" s="47" t="str">
        <x:v>BA, HA, SA, OU</x:v>
      </x:c>
      <x:c r="E15" s="47" t="str">
        <x:v>A, EI, BA, MA, NA, TA</x:v>
      </x:c>
      <x:c r="F15" s="47" t="str">
        <x:v>High</x:v>
      </x:c>
      <x:c r="G15" s="47" t="str">
        <x:v>Level 2 cumulative symbol pool</x:v>
      </x:c>
      <x:c r="H15" s="47" t="str">
        <x:v>SALIN-172</x:v>
      </x:c>
      <x:c r="I15" s="48" t="str">
        <x:v>Open</x:v>
      </x:c>
    </x:row>
    <x:row r="16" ht="72" customHeight="1">
      <x:c r="A16" s="46" t="str">
        <x:v>D-L03</x:v>
      </x:c>
      <x:c r="B16" s="47" t="str">
        <x:v>Level roster</x:v>
      </x:c>
      <x:c r="C16" s="47" t="str">
        <x:v>Assets/ScriptableObjects/Levels/Level3_Config.asset</x:v>
      </x:c>
      <x:c r="D16" s="47" t="str">
        <x:v>BA, SA, DA</x:v>
      </x:c>
      <x:c r="E16" s="47" t="str">
        <x:v>A, EI, BA, MA, NA, TA</x:v>
      </x:c>
      <x:c r="F16" s="47" t="str">
        <x:v>High</x:v>
      </x:c>
      <x:c r="G16" s="47" t="str">
        <x:v>Level 3 cumulative symbol pool</x:v>
      </x:c>
      <x:c r="H16" s="47" t="str">
        <x:v>SALIN-172</x:v>
      </x:c>
      <x:c r="I16" s="48" t="str">
        <x:v>Open</x:v>
      </x:c>
    </x:row>
    <x:row r="17" ht="72" customHeight="1">
      <x:c r="A17" s="46" t="str">
        <x:v>D-L04</x:v>
      </x:c>
      <x:c r="B17" s="47" t="str">
        <x:v>Level roster</x:v>
      </x:c>
      <x:c r="C17" s="47" t="str">
        <x:v>Assets/ScriptableObjects/Levels/Level4_Config.asset</x:v>
      </x:c>
      <x:c r="D17" s="47" t="str">
        <x:v>WA, SA, DA, BA</x:v>
      </x:c>
      <x:c r="E17" s="47" t="str">
        <x:v>A, EI, BA, MA, NA, TA</x:v>
      </x:c>
      <x:c r="F17" s="47" t="str">
        <x:v>High</x:v>
      </x:c>
      <x:c r="G17" s="47" t="str">
        <x:v>Level 4 cumulative symbol pool</x:v>
      </x:c>
      <x:c r="H17" s="47" t="str">
        <x:v>SALIN-172</x:v>
      </x:c>
      <x:c r="I17" s="48" t="str">
        <x:v>Open</x:v>
      </x:c>
    </x:row>
    <x:row r="18" ht="72" customHeight="1">
      <x:c r="A18" s="46" t="str">
        <x:v>D-L05</x:v>
      </x:c>
      <x:c r="B18" s="47" t="str">
        <x:v>Level roster</x:v>
      </x:c>
      <x:c r="C18" s="47" t="str">
        <x:v>Assets/ScriptableObjects/Levels/Level5_Config.asset</x:v>
      </x:c>
      <x:c r="D18" s="47" t="str">
        <x:v>BA, OU, HA, SA, DA, WA</x:v>
      </x:c>
      <x:c r="E18" s="47" t="str">
        <x:v>A, EI, BA, MA, NA, TA</x:v>
      </x:c>
      <x:c r="F18" s="47" t="str">
        <x:v>High</x:v>
      </x:c>
      <x:c r="G18" s="47" t="str">
        <x:v>Level 5 cumulative symbol pool</x:v>
      </x:c>
      <x:c r="H18" s="47" t="str">
        <x:v>SALIN-172</x:v>
      </x:c>
      <x:c r="I18" s="48" t="str">
        <x:v>Open</x:v>
      </x:c>
    </x:row>
    <x:row r="19" ht="72" customHeight="1">
      <x:c r="A19" s="46" t="str">
        <x:v>D-L06</x:v>
      </x:c>
      <x:c r="B19" s="47" t="str">
        <x:v>Level roster</x:v>
      </x:c>
      <x:c r="C19" s="47" t="str">
        <x:v>Assets/ScriptableObjects/Levels/Level6_Config.asset</x:v>
      </x:c>
      <x:c r="D19" s="47" t="str">
        <x:v>BA, GA, KA, MA, HA, LA, NA, NGA, PA, SA, TA, WA</x:v>
      </x:c>
      <x:c r="E19" s="47" t="str">
        <x:v>A, EI, BA, MA, NA, TA, GA, WA</x:v>
      </x:c>
      <x:c r="F19" s="47" t="str">
        <x:v>High</x:v>
      </x:c>
      <x:c r="G19" s="47" t="str">
        <x:v>Level 6 cumulative symbol pool</x:v>
      </x:c>
      <x:c r="H19" s="47" t="str">
        <x:v>SALIN-172</x:v>
      </x:c>
      <x:c r="I19" s="48" t="str">
        <x:v>Open</x:v>
      </x:c>
    </x:row>
    <x:row r="20" ht="72" customHeight="1">
      <x:c r="A20" s="46" t="str">
        <x:v>D-L07</x:v>
      </x:c>
      <x:c r="B20" s="47" t="str">
        <x:v>Level roster</x:v>
      </x:c>
      <x:c r="C20" s="47" t="str">
        <x:v>Assets/ScriptableObjects/Levels/Level7_Config.asset</x:v>
      </x:c>
      <x:c r="D20" s="47" t="str">
        <x:v>BA, GA, KA, MA, HA, LA, NA, NGA, PA, SA, TA, WA</x:v>
      </x:c>
      <x:c r="E20" s="47" t="str">
        <x:v>A, EI, BA, MA, NA, TA, KA, GA, SA, WA</x:v>
      </x:c>
      <x:c r="F20" s="47" t="str">
        <x:v>High</x:v>
      </x:c>
      <x:c r="G20" s="47" t="str">
        <x:v>Level 7 cumulative symbol pool</x:v>
      </x:c>
      <x:c r="H20" s="47" t="str">
        <x:v>SALIN-172</x:v>
      </x:c>
      <x:c r="I20" s="48" t="str">
        <x:v>Open</x:v>
      </x:c>
    </x:row>
    <x:row r="21" ht="72" customHeight="1">
      <x:c r="A21" s="46" t="str">
        <x:v>D-L08</x:v>
      </x:c>
      <x:c r="B21" s="47" t="str">
        <x:v>Level roster</x:v>
      </x:c>
      <x:c r="C21" s="47" t="str">
        <x:v>Assets/ScriptableObjects/Levels/Level8_Config.asset</x:v>
      </x:c>
      <x:c r="D21" s="47" t="str">
        <x:v>BA, GA, KA, MA, HA, LA, NA, NGA, PA, SA, TA, WA, YA, DA, EI</x:v>
      </x:c>
      <x:c r="E21" s="47" t="str">
        <x:v>A, EI, BA, MA, NA, TA, KA, GA, SA, WA, YA</x:v>
      </x:c>
      <x:c r="F21" s="47" t="str">
        <x:v>High</x:v>
      </x:c>
      <x:c r="G21" s="47" t="str">
        <x:v>Level 8 cumulative symbol pool</x:v>
      </x:c>
      <x:c r="H21" s="47" t="str">
        <x:v>SALIN-172</x:v>
      </x:c>
      <x:c r="I21" s="48" t="str">
        <x:v>Open</x:v>
      </x:c>
    </x:row>
    <x:row r="22" ht="72" customHeight="1">
      <x:c r="A22" s="46" t="str">
        <x:v>D-L09</x:v>
      </x:c>
      <x:c r="B22" s="47" t="str">
        <x:v>Level roster</x:v>
      </x:c>
      <x:c r="C22" s="47" t="str">
        <x:v>Assets/ScriptableObjects/Levels/Level9_Config.asset</x:v>
      </x:c>
      <x:c r="D22" s="47" t="str">
        <x:v>BA, GA, KA, MA, HA, LA, NA, NGA, PA, SA, TA, WA, YA, DA, EI</x:v>
      </x:c>
      <x:c r="E22" s="47" t="str">
        <x:v>A, EI, BA, MA, NA, TA, OU, KA, GA, SA, WA, YA</x:v>
      </x:c>
      <x:c r="F22" s="47" t="str">
        <x:v>High</x:v>
      </x:c>
      <x:c r="G22" s="47" t="str">
        <x:v>Level 9 cumulative symbol pool</x:v>
      </x:c>
      <x:c r="H22" s="47" t="str">
        <x:v>SALIN-172</x:v>
      </x:c>
      <x:c r="I22" s="48" t="str">
        <x:v>Open</x:v>
      </x:c>
    </x:row>
    <x:row r="23" ht="72" customHeight="1">
      <x:c r="A23" s="46" t="str">
        <x:v>D-L10</x:v>
      </x:c>
      <x:c r="B23" s="47" t="str">
        <x:v>Level roster</x:v>
      </x:c>
      <x:c r="C23" s="47" t="str">
        <x:v>Assets/ScriptableObjects/Levels/Level10_Config.asset</x:v>
      </x:c>
      <x:c r="D23" s="47" t="str">
        <x:v>A</x:v>
      </x:c>
      <x:c r="E23" s="47" t="str">
        <x:v>A, EI, BA, MA, NA, TA, OU, KA, GA, SA, WA, YA</x:v>
      </x:c>
      <x:c r="F23" s="47" t="str">
        <x:v>High</x:v>
      </x:c>
      <x:c r="G23" s="47" t="str">
        <x:v>Level 10 cumulative symbol pool</x:v>
      </x:c>
      <x:c r="H23" s="47" t="str">
        <x:v>SALIN-172</x:v>
      </x:c>
      <x:c r="I23" s="48" t="str">
        <x:v>Open</x:v>
      </x:c>
    </x:row>
    <x:row r="24" ht="72" customHeight="1">
      <x:c r="A24" s="46" t="str">
        <x:v>D-L11</x:v>
      </x:c>
      <x:c r="B24" s="47" t="str">
        <x:v>Level roster</x:v>
      </x:c>
      <x:c r="C24" s="47" t="str">
        <x:v>Assets/ScriptableObjects/Levels/Level11_Config.asset</x:v>
      </x:c>
      <x:c r="D24" s="47" t="str">
        <x:v>BA, KA, DA, GA, HA, LA, MA, NA, NGA, PA, SA, TA, WA, YA, A, EI, OU</x:v>
      </x:c>
      <x:c r="E24" s="47" t="str">
        <x:v>A, EI, BA, MA, NA, TA, OU, KA, GA, SA, WA, YA, DA, LA</x:v>
      </x:c>
      <x:c r="F24" s="47" t="str">
        <x:v>High</x:v>
      </x:c>
      <x:c r="G24" s="47" t="str">
        <x:v>Level 11 cumulative symbol pool</x:v>
      </x:c>
      <x:c r="H24" s="47" t="str">
        <x:v>SALIN-172</x:v>
      </x:c>
      <x:c r="I24" s="48" t="str">
        <x:v>Open</x:v>
      </x:c>
    </x:row>
    <x:row r="25" ht="72" customHeight="1">
      <x:c r="A25" s="46" t="str">
        <x:v>D-L12</x:v>
      </x:c>
      <x:c r="B25" s="47" t="str">
        <x:v>Level roster</x:v>
      </x:c>
      <x:c r="C25" s="47" t="str">
        <x:v>Assets/ScriptableObjects/Levels/Level12_Config.asset</x:v>
      </x:c>
      <x:c r="D25" s="47" t="str">
        <x:v>BA, KA, DA, GA, HA, LA, MA, NA, NGA, PA, SA, TA, WA, YA, A, EI, OU</x:v>
      </x:c>
      <x:c r="E25" s="47" t="str">
        <x:v>A, EI, BA, MA, NA, TA, OU, KA, GA, SA, WA, YA, DA, HA, LA, NGA</x:v>
      </x:c>
      <x:c r="F25" s="47" t="str">
        <x:v>High</x:v>
      </x:c>
      <x:c r="G25" s="47" t="str">
        <x:v>Level 12 cumulative symbol pool</x:v>
      </x:c>
      <x:c r="H25" s="47" t="str">
        <x:v>SALIN-172</x:v>
      </x:c>
      <x:c r="I25" s="48" t="str">
        <x:v>Open</x:v>
      </x:c>
    </x:row>
    <x:row r="26" ht="72" customHeight="1">
      <x:c r="A26" s="46" t="str">
        <x:v>D-L13</x:v>
      </x:c>
      <x:c r="B26" s="47" t="str">
        <x:v>Level roster</x:v>
      </x:c>
      <x:c r="C26" s="47" t="str">
        <x:v>Assets/ScriptableObjects/Levels/Level13_Config.asset</x:v>
      </x:c>
      <x:c r="D26" s="47" t="str">
        <x:v>BA, KA, DA, GA, HA, LA, MA, NA, NGA, PA, SA, TA, WA, YA, A, EI, OU</x:v>
      </x:c>
      <x:c r="E26" s="47" t="str">
        <x:v>A, EI, BA, MA, NA, TA, OU, KA, GA, SA, WA, YA, DA, HA, LA, NGA</x:v>
      </x:c>
      <x:c r="F26" s="47" t="str">
        <x:v>High</x:v>
      </x:c>
      <x:c r="G26" s="47" t="str">
        <x:v>Level 13 cumulative symbol pool</x:v>
      </x:c>
      <x:c r="H26" s="47" t="str">
        <x:v>SALIN-172</x:v>
      </x:c>
      <x:c r="I26" s="48" t="str">
        <x:v>Open</x:v>
      </x:c>
    </x:row>
    <x:row r="27" ht="72" customHeight="1">
      <x:c r="A27" s="46" t="str">
        <x:v>D-L14</x:v>
      </x:c>
      <x:c r="B27" s="47" t="str">
        <x:v>Level roster</x:v>
      </x:c>
      <x:c r="C27" s="47" t="str">
        <x:v>Assets/ScriptableObjects/Levels/Level14_Config.asset</x:v>
      </x:c>
      <x:c r="D27" s="47" t="str">
        <x:v>BA, KA, DA, GA, HA, LA, MA, NA, NGA, PA, SA, TA, WA, YA, A, EI, OU</x:v>
      </x:c>
      <x:c r="E27" s="47" t="str">
        <x:v>A, EI, BA, MA, NA, TA, OU, KA, GA, SA, WA, YA, DA, HA, LA, NGA</x:v>
      </x:c>
      <x:c r="F27" s="47" t="str">
        <x:v>High</x:v>
      </x:c>
      <x:c r="G27" s="47" t="str">
        <x:v>Level 14 cumulative symbol pool</x:v>
      </x:c>
      <x:c r="H27" s="47" t="str">
        <x:v>SALIN-172</x:v>
      </x:c>
      <x:c r="I27" s="48" t="str">
        <x:v>Open</x:v>
      </x:c>
    </x:row>
    <x:row r="28" ht="72" customHeight="1">
      <x:c r="A28" s="49" t="str">
        <x:v>D-L15</x:v>
      </x:c>
      <x:c r="B28" s="50" t="str">
        <x:v>Level roster</x:v>
      </x:c>
      <x:c r="C28" s="50" t="str">
        <x:v>Assets/ScriptableObjects/Levels/Level15_Config.asset</x:v>
      </x:c>
      <x:c r="D28" s="50" t="str">
        <x:v>NGA</x:v>
      </x:c>
      <x:c r="E28" s="50" t="str">
        <x:v>A, EI, BA, MA, NA, TA, OU, KA, GA, SA, WA, YA, DA, HA, LA, NGA, PA</x:v>
      </x:c>
      <x:c r="F28" s="50" t="str">
        <x:v>High</x:v>
      </x:c>
      <x:c r="G28" s="50" t="str">
        <x:v>Level 15 cumulative symbol pool</x:v>
      </x:c>
      <x:c r="H28" s="50" t="str">
        <x:v>SALIN-172</x:v>
      </x:c>
      <x:c r="I28" s="51" t="str">
        <x:v>Open</x:v>
      </x:c>
    </x:row>
    <x:row r="29" ht="62" customHeight="1">
      <x:c r="A29" s="95" t="str">
        <x:v>D-009</x:v>
      </x:c>
      <x:c r="B29" s="96" t="str">
        <x:v>Runtime identity</x:v>
      </x:c>
      <x:c r="C29" s="96" t="str">
        <x:v>Assets/Scripts/Data/BaybayinIdCanonicalizer.cs; Assets/Scripts/Gameplay/Recognition/TemplateLoader.cs</x:v>
      </x:c>
      <x:c r="D29" s="96" t="str">
        <x:v>The canonicalizer has no DA/RA alias, and TemplateLoader groups DA and RA template IDs independently.</x:v>
      </x:c>
      <x:c r="E29" s="96" t="str">
        <x:v>Resolve both contextual values to one approved DA/RA runtime identity while preserving contextual spoken value metadata.</x:v>
      </x:c>
      <x:c r="F29" s="96" t="str">
        <x:v>High</x:v>
      </x:c>
      <x:c r="G29" s="96" t="str">
        <x:v>Runtime character lookup; recognition template grouping</x:v>
      </x:c>
      <x:c r="H29" s="96" t="str">
        <x:v>SALIN-170 / recognition owner</x:v>
      </x:c>
      <x:c r="I29" s="96" t="str">
        <x:v>Open</x:v>
      </x:c>
    </x:row>
  </x:sheetData>
  <x:mergeCells>
    <x:mergeCell ref="A1:I1"/>
    <x:mergeCell ref="A3:I3"/>
  </x:mergeCells>
  <x:conditionalFormatting sqref="F6:I28">
    <x:cfRule type="containsText" dxfId="12" priority="1" operator="containsText" text="Existing"/>
    <x:cfRule type="containsText" dxfId="13" priority="2" operator="containsText" text="PASS"/>
    <x:cfRule type="containsText" dxfId="14" priority="3" operator="containsText" text="Planned"/>
    <x:cfRule type="containsText" dxfId="15" priority="4" operator="containsText" text="Partial"/>
    <x:cfRule type="containsText" dxfId="16" priority="5" operator="containsText" text="Conflict"/>
    <x:cfRule type="containsText" dxfId="17" priority="6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62f8d7d9ecc941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4.440000534057617" hidden="0" customWidth="1"/>
    <x:col min="3" max="3" width="16.110000610351562" hidden="0" customWidth="1"/>
    <x:col min="4" max="4" width="10.5600004196167" hidden="0" customWidth="1"/>
    <x:col min="5" max="5" width="32.220001220703125" hidden="0" customWidth="1"/>
    <x:col min="6" max="6" width="16.110000610351562" hidden="0" customWidth="1"/>
    <x:col min="7" max="7" width="28.889999389648438" hidden="0" customWidth="1"/>
    <x:col min="8" max="8" width="11.670000076293945" hidden="0" customWidth="1"/>
    <x:col min="9" max="9" width="28.889999389648438" hidden="0" customWidth="1"/>
  </x:cols>
  <x:sheetData>
    <x:row r="1" ht="34" customHeight="1">
      <x:c r="A1" s="4" t="str">
        <x:v>TW-SPK-004 — Review Handoff and Approval Log</x:v>
      </x:c>
      <x:c r="B1" s="4" t="str">
        <x:v>TW-SPK-004 — Review Handoff and Approval Log</x:v>
      </x:c>
      <x:c r="C1" s="4" t="str">
        <x:v>TW-SPK-004 — Review Handoff and Approval Log</x:v>
      </x:c>
      <x:c r="D1" s="4" t="str">
        <x:v>TW-SPK-004 — Review Handoff and Approval Log</x:v>
      </x:c>
      <x:c r="E1" s="4" t="str">
        <x:v>TW-SPK-004 — Review Handoff and Approval Log</x:v>
      </x:c>
      <x:c r="F1" s="4" t="str">
        <x:v>TW-SPK-004 — Review Handoff and Approval Log</x:v>
      </x:c>
      <x:c r="G1" s="4" t="str">
        <x:v>TW-SPK-004 — Review Handoff and Approval Log</x:v>
      </x:c>
      <x:c r="H1" s="4" t="str">
        <x:v>TW-SPK-004 — Review Handoff and Approval Log</x:v>
      </x:c>
      <x:c r="I1" s="4" t="str">
        <x:v>TW-SPK-004 — Review Handoff and Approval Log</x:v>
      </x:c>
    </x:row>
    <x:row r="3">
      <x:c r="A3" s="65" t="str">
        <x:v>Draft status</x:v>
      </x:c>
      <x:c r="B3" s="68" t="str">
        <x:v>Pending TW-RES-001/SALIN-188 Review</x:v>
      </x:c>
      <x:c r="D3" s="70" t="str">
        <x:v>Source precedence: approved workbook → SALIN-167 resolutions → repository evidence → historical Jira evidence</x:v>
      </x:c>
      <x:c r="E3" s="70" t="str">
        <x:v>Source precedence: approved workbook → SALIN-167 resolutions → repository evidence → historical Jira evidence</x:v>
      </x:c>
      <x:c r="F3" s="70" t="str">
        <x:v>Source precedence: approved workbook → SALIN-167 resolutions → repository evidence → historical Jira evidence</x:v>
      </x:c>
      <x:c r="G3" s="70" t="str">
        <x:v>Source precedence: approved workbook → SALIN-167 resolutions → repository evidence → historical Jira evidence</x:v>
      </x:c>
      <x:c r="H3" s="70" t="str">
        <x:v>Source precedence: approved workbook → SALIN-167 resolutions → repository evidence → historical Jira evidence</x:v>
      </x:c>
      <x:c r="I3" s="70" t="str">
        <x:v>Source precedence: approved workbook → SALIN-167 resolutions → repository evidence → historical Jira evidence</x:v>
      </x:c>
    </x:row>
    <x:row r="4">
      <x:c r="A4" s="65" t="str">
        <x:v>Repository Planning ID</x:v>
      </x:c>
      <x:c r="B4" s="68" t="str">
        <x:v>TW-SPK-004</x:v>
      </x:c>
    </x:row>
    <x:row r="5">
      <x:c r="A5" s="65" t="str">
        <x:v>Jira issue</x:v>
      </x:c>
      <x:c r="B5" s="68" t="str">
        <x:v>SALIN-167</x:v>
      </x:c>
      <x:c r="D5" s="15" t="str">
        <x:v>QC</x:v>
      </x:c>
      <x:c r="E5" s="15" t="str">
        <x:v>Formula Result</x:v>
      </x:c>
      <x:c r="F5" s="15" t="str">
        <x:v>Expected</x:v>
      </x:c>
      <x:c r="G5" s="15" t="str">
        <x:v>Status</x:v>
      </x:c>
      <x:c r="H5" s="15"/>
      <x:c r="I5" s="15"/>
    </x:row>
    <x:row r="6">
      <x:c r="A6" s="65" t="str">
        <x:v>Source workbook</x:v>
      </x:c>
      <x:c r="B6" s="68" t="str">
        <x:v>files/backlog/CORE GAME MECHANICS.xlsx</x:v>
      </x:c>
      <x:c r="D6" s="68" t="str">
        <x:v>Canonical visual rows</x:v>
      </x:c>
      <x:c r="E6" s="68" t="n">
        <x:f>'Character Matrix'!B4</x:f>
        <x:v>17</x:v>
      </x:c>
      <x:c r="F6" s="68" t="n">
        <x:v>17</x:v>
      </x:c>
      <x:c r="G6" s="68" t="str">
        <x:f>IF(E6=F6,"PASS","FAIL")</x:f>
        <x:v>PASS</x:v>
      </x:c>
      <x:c r="H6"/>
      <x:c r="I6"/>
    </x:row>
    <x:row r="7">
      <x:c r="A7" s="65" t="str">
        <x:v>Approved source checksum</x:v>
      </x:c>
      <x:c r="B7" s="68" t="str">
        <x:v>4a2996ef4f4d3102b4657b1e8bf2b54b2183bc7748d3931a6bb674d2f92ecc9d</x:v>
      </x:c>
      <x:c r="D7" s="68" t="str">
        <x:v>Contextual value records</x:v>
      </x:c>
      <x:c r="E7" s="68" t="n">
        <x:f>'Character Matrix'!C4</x:f>
        <x:v>18</x:v>
      </x:c>
      <x:c r="F7" s="68" t="n">
        <x:v>18</x:v>
      </x:c>
      <x:c r="G7" s="68" t="str">
        <x:f>IF(E7=F7,"PASS","FAIL")</x:f>
        <x:v>PASS</x:v>
      </x:c>
      <x:c r="H7"/>
      <x:c r="I7"/>
    </x:row>
    <x:row r="8">
      <x:c r="A8" s="65" t="str">
        <x:v>Historical Jira checksum</x:v>
      </x:c>
      <x:c r="B8" s="68" t="str">
        <x:v>34dad782a025b3acd3dcfc9bdfb2ce5c595fe81e6bd1789c9042849b63c27eb7</x:v>
      </x:c>
      <x:c r="D8" s="68" t="str">
        <x:v>Validated word slots</x:v>
      </x:c>
      <x:c r="E8" s="68" t="n">
        <x:f>'Word Slots'!C4</x:f>
        <x:v>30</x:v>
      </x:c>
      <x:c r="F8" s="68" t="n">
        <x:v>30</x:v>
      </x:c>
      <x:c r="G8" s="68" t="str">
        <x:f>IF(E8=F8,"PASS","FAIL")</x:f>
        <x:v>PASS</x:v>
      </x:c>
      <x:c r="H8"/>
      <x:c r="I8"/>
    </x:row>
    <x:row r="9">
      <x:c r="A9" s="65" t="str">
        <x:v>Planning-source substitute</x:v>
      </x:c>
      <x:c r="B9" s="68" t="str">
        <x:v>The supplied Jira body; docs/backlog/technical-work.md is absent</x:v>
      </x:c>
    </x:row>
    <x:row r="10">
      <x:c r="A10" s="65" t="str">
        <x:v>Finalization owner</x:v>
      </x:c>
      <x:c r="B10" s="68" t="str">
        <x:v>TW-RES-001 represented by SALIN-188</x:v>
      </x:c>
    </x:row>
    <x:row r="12">
      <x:c r="A12" s="64" t="str">
        <x:v>Two-Slots-Per-Level QC</x:v>
      </x:c>
      <x:c r="B12" s="64" t="str">
        <x:v>Two-Slots-Per-Level QC</x:v>
      </x:c>
      <x:c r="C12" s="64" t="str">
        <x:v>Two-Slots-Per-Level QC</x:v>
      </x:c>
      <x:c r="D12" s="64" t="str">
        <x:v>Two-Slots-Per-Level QC</x:v>
      </x:c>
      <x:c r="E12" s="64" t="str">
        <x:v>Two-Slots-Per-Level QC</x:v>
      </x:c>
      <x:c r="F12" s="64" t="str">
        <x:v>Two-Slots-Per-Level QC</x:v>
      </x:c>
      <x:c r="G12" s="64" t="str">
        <x:v>Two-Slots-Per-Level QC</x:v>
      </x:c>
      <x:c r="H12" s="64" t="str">
        <x:v>Two-Slots-Per-Level QC</x:v>
      </x:c>
      <x:c r="I12" s="64" t="str">
        <x:v>Two-Slots-Per-Level QC</x:v>
      </x:c>
    </x:row>
    <x:row r="13" ht="36" customHeight="1">
      <x:c r="A13" s="22" t="str">
        <x:v>Level</x:v>
      </x:c>
      <x:c r="B13" s="23" t="str">
        <x:v>Slot Count</x:v>
      </x:c>
      <x:c r="C13" s="23" t="str">
        <x:v>Expected</x:v>
      </x:c>
      <x:c r="D13" s="24" t="str">
        <x:v>Status</x:v>
      </x:c>
    </x:row>
    <x:row r="14">
      <x:c r="A14" s="25" t="n">
        <x:v>1</x:v>
      </x:c>
      <x:c r="B14" s="26" t="n">
        <x:f>COUNTIF('Word Slots'!$A$8:$A$37,A14)</x:f>
        <x:v>2</x:v>
      </x:c>
      <x:c r="C14" s="26" t="n">
        <x:v>2</x:v>
      </x:c>
      <x:c r="D14" s="27" t="str">
        <x:f>IF(B14=C14,"PASS","FAIL")</x:f>
        <x:v>PASS</x:v>
      </x:c>
    </x:row>
    <x:row r="15">
      <x:c r="A15" s="28" t="n">
        <x:v>2</x:v>
      </x:c>
      <x:c r="B15" s="29" t="n">
        <x:f>COUNTIF('Word Slots'!$A$8:$A$37,A15)</x:f>
        <x:v>2</x:v>
      </x:c>
      <x:c r="C15" s="29" t="n">
        <x:v>2</x:v>
      </x:c>
      <x:c r="D15" s="30" t="str">
        <x:f>IF(B15=C15,"PASS","FAIL")</x:f>
        <x:v>PASS</x:v>
      </x:c>
    </x:row>
    <x:row r="16">
      <x:c r="A16" s="28" t="n">
        <x:v>3</x:v>
      </x:c>
      <x:c r="B16" s="29" t="n">
        <x:f>COUNTIF('Word Slots'!$A$8:$A$37,A16)</x:f>
        <x:v>2</x:v>
      </x:c>
      <x:c r="C16" s="29" t="n">
        <x:v>2</x:v>
      </x:c>
      <x:c r="D16" s="30" t="str">
        <x:f>IF(B16=C16,"PASS","FAIL")</x:f>
        <x:v>PASS</x:v>
      </x:c>
    </x:row>
    <x:row r="17">
      <x:c r="A17" s="28" t="n">
        <x:v>4</x:v>
      </x:c>
      <x:c r="B17" s="29" t="n">
        <x:f>COUNTIF('Word Slots'!$A$8:$A$37,A17)</x:f>
        <x:v>2</x:v>
      </x:c>
      <x:c r="C17" s="29" t="n">
        <x:v>2</x:v>
      </x:c>
      <x:c r="D17" s="30" t="str">
        <x:f>IF(B17=C17,"PASS","FAIL")</x:f>
        <x:v>PASS</x:v>
      </x:c>
    </x:row>
    <x:row r="18">
      <x:c r="A18" s="28" t="n">
        <x:v>5</x:v>
      </x:c>
      <x:c r="B18" s="29" t="n">
        <x:f>COUNTIF('Word Slots'!$A$8:$A$37,A18)</x:f>
        <x:v>2</x:v>
      </x:c>
      <x:c r="C18" s="29" t="n">
        <x:v>2</x:v>
      </x:c>
      <x:c r="D18" s="30" t="str">
        <x:f>IF(B18=C18,"PASS","FAIL")</x:f>
        <x:v>PASS</x:v>
      </x:c>
    </x:row>
    <x:row r="19">
      <x:c r="A19" s="28" t="n">
        <x:v>6</x:v>
      </x:c>
      <x:c r="B19" s="29" t="n">
        <x:f>COUNTIF('Word Slots'!$A$8:$A$37,A19)</x:f>
        <x:v>2</x:v>
      </x:c>
      <x:c r="C19" s="29" t="n">
        <x:v>2</x:v>
      </x:c>
      <x:c r="D19" s="30" t="str">
        <x:f>IF(B19=C19,"PASS","FAIL")</x:f>
        <x:v>PASS</x:v>
      </x:c>
    </x:row>
    <x:row r="20">
      <x:c r="A20" s="28" t="n">
        <x:v>7</x:v>
      </x:c>
      <x:c r="B20" s="29" t="n">
        <x:f>COUNTIF('Word Slots'!$A$8:$A$37,A20)</x:f>
        <x:v>2</x:v>
      </x:c>
      <x:c r="C20" s="29" t="n">
        <x:v>2</x:v>
      </x:c>
      <x:c r="D20" s="30" t="str">
        <x:f>IF(B20=C20,"PASS","FAIL")</x:f>
        <x:v>PASS</x:v>
      </x:c>
    </x:row>
    <x:row r="21">
      <x:c r="A21" s="28" t="n">
        <x:v>8</x:v>
      </x:c>
      <x:c r="B21" s="29" t="n">
        <x:f>COUNTIF('Word Slots'!$A$8:$A$37,A21)</x:f>
        <x:v>2</x:v>
      </x:c>
      <x:c r="C21" s="29" t="n">
        <x:v>2</x:v>
      </x:c>
      <x:c r="D21" s="30" t="str">
        <x:f>IF(B21=C21,"PASS","FAIL")</x:f>
        <x:v>PASS</x:v>
      </x:c>
    </x:row>
    <x:row r="22">
      <x:c r="A22" s="28" t="n">
        <x:v>9</x:v>
      </x:c>
      <x:c r="B22" s="29" t="n">
        <x:f>COUNTIF('Word Slots'!$A$8:$A$37,A22)</x:f>
        <x:v>2</x:v>
      </x:c>
      <x:c r="C22" s="29" t="n">
        <x:v>2</x:v>
      </x:c>
      <x:c r="D22" s="30" t="str">
        <x:f>IF(B22=C22,"PASS","FAIL")</x:f>
        <x:v>PASS</x:v>
      </x:c>
    </x:row>
    <x:row r="23">
      <x:c r="A23" s="28" t="n">
        <x:v>10</x:v>
      </x:c>
      <x:c r="B23" s="29" t="n">
        <x:f>COUNTIF('Word Slots'!$A$8:$A$37,A23)</x:f>
        <x:v>2</x:v>
      </x:c>
      <x:c r="C23" s="29" t="n">
        <x:v>2</x:v>
      </x:c>
      <x:c r="D23" s="30" t="str">
        <x:f>IF(B23=C23,"PASS","FAIL")</x:f>
        <x:v>PASS</x:v>
      </x:c>
    </x:row>
    <x:row r="24">
      <x:c r="A24" s="28" t="n">
        <x:v>11</x:v>
      </x:c>
      <x:c r="B24" s="29" t="n">
        <x:f>COUNTIF('Word Slots'!$A$8:$A$37,A24)</x:f>
        <x:v>2</x:v>
      </x:c>
      <x:c r="C24" s="29" t="n">
        <x:v>2</x:v>
      </x:c>
      <x:c r="D24" s="30" t="str">
        <x:f>IF(B24=C24,"PASS","FAIL")</x:f>
        <x:v>PASS</x:v>
      </x:c>
    </x:row>
    <x:row r="25">
      <x:c r="A25" s="28" t="n">
        <x:v>12</x:v>
      </x:c>
      <x:c r="B25" s="29" t="n">
        <x:f>COUNTIF('Word Slots'!$A$8:$A$37,A25)</x:f>
        <x:v>2</x:v>
      </x:c>
      <x:c r="C25" s="29" t="n">
        <x:v>2</x:v>
      </x:c>
      <x:c r="D25" s="30" t="str">
        <x:f>IF(B25=C25,"PASS","FAIL")</x:f>
        <x:v>PASS</x:v>
      </x:c>
    </x:row>
    <x:row r="26">
      <x:c r="A26" s="28" t="n">
        <x:v>13</x:v>
      </x:c>
      <x:c r="B26" s="29" t="n">
        <x:f>COUNTIF('Word Slots'!$A$8:$A$37,A26)</x:f>
        <x:v>2</x:v>
      </x:c>
      <x:c r="C26" s="29" t="n">
        <x:v>2</x:v>
      </x:c>
      <x:c r="D26" s="30" t="str">
        <x:f>IF(B26=C26,"PASS","FAIL")</x:f>
        <x:v>PASS</x:v>
      </x:c>
    </x:row>
    <x:row r="27">
      <x:c r="A27" s="28" t="n">
        <x:v>14</x:v>
      </x:c>
      <x:c r="B27" s="29" t="n">
        <x:f>COUNTIF('Word Slots'!$A$8:$A$37,A27)</x:f>
        <x:v>2</x:v>
      </x:c>
      <x:c r="C27" s="29" t="n">
        <x:v>2</x:v>
      </x:c>
      <x:c r="D27" s="30" t="str">
        <x:f>IF(B27=C27,"PASS","FAIL")</x:f>
        <x:v>PASS</x:v>
      </x:c>
    </x:row>
    <x:row r="28">
      <x:c r="A28" s="31" t="n">
        <x:v>15</x:v>
      </x:c>
      <x:c r="B28" s="32" t="n">
        <x:f>COUNTIF('Word Slots'!$A$8:$A$37,A28)</x:f>
        <x:v>2</x:v>
      </x:c>
      <x:c r="C28" s="32" t="n">
        <x:v>2</x:v>
      </x:c>
      <x:c r="D28" s="33" t="str">
        <x:f>IF(B28=C28,"PASS","FAIL")</x:f>
        <x:v>PASS</x:v>
      </x:c>
    </x:row>
    <x:row r="31" ht="36" customHeight="1">
      <x:c r="A31" s="22" t="str">
        <x:v>Review ID</x:v>
      </x:c>
      <x:c r="B31" s="23" t="str">
        <x:v>Stage</x:v>
      </x:c>
      <x:c r="C31" s="23" t="str">
        <x:v>Reviewer / Owner</x:v>
      </x:c>
      <x:c r="D31" s="23" t="str">
        <x:v>Date</x:v>
      </x:c>
      <x:c r="E31" s="23" t="str">
        <x:v>Finding</x:v>
      </x:c>
      <x:c r="F31" s="23" t="str">
        <x:v>Disposition</x:v>
      </x:c>
      <x:c r="G31" s="23" t="str">
        <x:v>Incorporated Evidence</x:v>
      </x:c>
      <x:c r="H31" s="23" t="str">
        <x:v>Approval Status</x:v>
      </x:c>
      <x:c r="I31" s="24" t="str">
        <x:v>Notes</x:v>
      </x:c>
    </x:row>
    <x:row r="32" ht="62" customHeight="1">
      <x:c r="A32" s="43" t="str">
        <x:v>R-001</x:v>
      </x:c>
      <x:c r="B32" s="44" t="str">
        <x:v>Draft handoff</x:v>
      </x:c>
      <x:c r="C32" s="44" t="str">
        <x:v>SALIN-167</x:v>
      </x:c>
      <x:c r="D32" s="44" t="str">
        <x:v>2026-08-13</x:v>
      </x:c>
      <x:c r="E32" s="44" t="str">
        <x:v>Second re-review found stale PASS paths for canonical sequence, final symbol, pool monotonicity, asset/audio evidence, and disabled table filters.</x:v>
      </x:c>
      <x:c r="F32" s="44" t="str">
        <x:v>Addressed; submitted for TW-RES-001/SALIN-188 review</x:v>
      </x:c>
      <x:c r="G32" s="44" t="str">
        <x:v>Word Slots formula QC; Character Matrix evidence; filterable tables; Discrepancies D-009; Markdown handoff</x:v>
      </x:c>
      <x:c r="H32" s="44" t="str">
        <x:v>Pending</x:v>
      </x:c>
      <x:c r="I32" s="45" t="str">
        <x:v>Checks now validate encoded token order, final canonical symbol, retained pools, required asset/audio references, and visible filters.</x:v>
      </x:c>
    </x:row>
    <x:row r="33" ht="62" customHeight="1">
      <x:c r="A33" s="46" t="str">
        <x:v>R-002</x:v>
      </x:c>
      <x:c r="B33" s="47" t="str">
        <x:v>Language and cultural review</x:v>
      </x:c>
      <x:c r="C33" s="47" t="str">
        <x:v>TW-RES-001 / SALIN-188</x:v>
      </x:c>
      <x:c r="D33" s="47" t="str"/>
      <x:c r="E33" s="47" t="str"/>
      <x:c r="F33" s="47" t="str"/>
      <x:c r="G33" s="47" t="str"/>
      <x:c r="H33" s="47" t="str">
        <x:v>Pending</x:v>
      </x:c>
      <x:c r="I33" s="48" t="str">
        <x:v>Reviewer findings must be recorded here.</x:v>
      </x:c>
    </x:row>
    <x:row r="34" ht="62" customHeight="1">
      <x:c r="A34" s="49" t="str">
        <x:v>R-003</x:v>
      </x:c>
      <x:c r="B34" s="50" t="str">
        <x:v>Final approval</x:v>
      </x:c>
      <x:c r="C34" s="50" t="str">
        <x:v>TW-RES-001 / SALIN-188</x:v>
      </x:c>
      <x:c r="D34" s="50" t="str"/>
      <x:c r="E34" s="50" t="str"/>
      <x:c r="F34" s="50" t="str"/>
      <x:c r="G34" s="50" t="str"/>
      <x:c r="H34" s="50" t="str">
        <x:v>Pending</x:v>
      </x:c>
      <x:c r="I34" s="51" t="str">
        <x:v>Approval is recorded only after an explicit reviewer decision.</x:v>
      </x:c>
    </x:row>
  </x:sheetData>
  <x:mergeCells>
    <x:mergeCell ref="A1:I1"/>
    <x:mergeCell ref="D3:I3"/>
    <x:mergeCell ref="A12:I12"/>
  </x:mergeCells>
  <x:conditionalFormatting sqref="G6:G8">
    <x:cfRule type="containsText" dxfId="18" priority="1" operator="containsText" text="Existing"/>
    <x:cfRule type="containsText" dxfId="19" priority="2" operator="containsText" text="PASS"/>
    <x:cfRule type="containsText" dxfId="20" priority="3" operator="containsText" text="Planned"/>
    <x:cfRule type="containsText" dxfId="21" priority="4" operator="containsText" text="Partial"/>
    <x:cfRule type="containsText" dxfId="22" priority="5" operator="containsText" text="Conflict"/>
    <x:cfRule type="containsText" dxfId="23" priority="6" operator="containsText" text="FAIL"/>
    <x:cfRule type="containsText" dxfId="30" priority="13" operator="containsText" text="Existing"/>
    <x:cfRule type="containsText" dxfId="31" priority="14" operator="containsText" text="PASS"/>
    <x:cfRule type="containsText" dxfId="32" priority="15" operator="containsText" text="Planned"/>
    <x:cfRule type="containsText" dxfId="33" priority="16" operator="containsText" text="Partial"/>
    <x:cfRule type="containsText" dxfId="34" priority="17" operator="containsText" text="Conflict"/>
    <x:cfRule type="containsText" dxfId="35" priority="18" operator="containsText" text="FAIL"/>
  </x:conditionalFormatting>
  <x:conditionalFormatting sqref="D14:D28">
    <x:cfRule type="containsText" dxfId="24" priority="7" operator="containsText" text="Existing"/>
    <x:cfRule type="containsText" dxfId="25" priority="8" operator="containsText" text="PASS"/>
    <x:cfRule type="containsText" dxfId="26" priority="9" operator="containsText" text="Planned"/>
    <x:cfRule type="containsText" dxfId="27" priority="10" operator="containsText" text="Partial"/>
    <x:cfRule type="containsText" dxfId="28" priority="11" operator="containsText" text="Conflict"/>
    <x:cfRule type="containsText" dxfId="29" priority="12" operator="containsText" text="FAIL"/>
    <x:cfRule type="containsText" dxfId="36" priority="19" operator="containsText" text="Existing"/>
    <x:cfRule type="containsText" dxfId="37" priority="20" operator="containsText" text="PASS"/>
    <x:cfRule type="containsText" dxfId="38" priority="21" operator="containsText" text="Planned"/>
    <x:cfRule type="containsText" dxfId="39" priority="22" operator="containsText" text="Partial"/>
    <x:cfRule type="containsText" dxfId="40" priority="23" operator="containsText" text="Conflict"/>
    <x:cfRule type="containsText" dxfId="41" priority="24" operator="containsText" text="FAIL"/>
  </x:conditionalFormatting>
  <x:conditionalFormatting sqref="H32:H34">
    <x:cfRule type="containsText" dxfId="42" priority="25" operator="containsText" text="Existing"/>
    <x:cfRule type="containsText" dxfId="43" priority="26" operator="containsText" text="PASS"/>
    <x:cfRule type="containsText" dxfId="44" priority="27" operator="containsText" text="Planned"/>
    <x:cfRule type="containsText" dxfId="45" priority="28" operator="containsText" text="Partial"/>
    <x:cfRule type="containsText" dxfId="46" priority="29" operator="containsText" text="Conflict"/>
    <x:cfRule type="containsText" dxfId="47" priority="30" operator="containsText" text="FAIL"/>
  </x:conditionalFormatting>
  <x:dataValidations count="2">
    <x:dataValidation type="list" sqref="F32:F34">
      <x:formula1>"Submitted for review,Accepted,Accepted with changes,Rejected,Deferred"</x:formula1>
    </x:dataValidation>
    <x:dataValidation type="list" sqref="H32:H34">
      <x:formula1>"Pending,Approved,Not 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9c59c7ad184270"/>
  </x:tableParts>
</x:worksheet>
</file>